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Users\Daniel\Documents\GitHub\BankCore\Docs\"/>
    </mc:Choice>
  </mc:AlternateContent>
  <xr:revisionPtr revIDLastSave="0" documentId="13_ncr:1_{54D36215-27C8-4387-8A22-DBADC24C3E04}" xr6:coauthVersionLast="43" xr6:coauthVersionMax="43" xr10:uidLastSave="{00000000-0000-0000-0000-000000000000}"/>
  <bookViews>
    <workbookView xWindow="5040" yWindow="504" windowWidth="17292" windowHeight="8880" firstSheet="7" activeTab="9" xr2:uid="{9AB488AA-0CFC-4358-A4CB-36B70F8170B2}"/>
  </bookViews>
  <sheets>
    <sheet name="Configuration" sheetId="5" r:id="rId1"/>
    <sheet name="TemplateObjectCollection" sheetId="6" r:id="rId2"/>
    <sheet name="TemplateObjectController" sheetId="9" r:id="rId3"/>
    <sheet name="TemplateLookupController" sheetId="11" r:id="rId4"/>
    <sheet name="TemplateHTMLSinglePageApp" sheetId="10" r:id="rId5"/>
    <sheet name="ComponentAccount" sheetId="4" r:id="rId6"/>
    <sheet name="ComponentBranch" sheetId="7" r:id="rId7"/>
    <sheet name="ComponentCustomer" sheetId="3" r:id="rId8"/>
    <sheet name="ComponentEmployee" sheetId="8" r:id="rId9"/>
    <sheet name="TableAccount" sheetId="12" r:id="rId10"/>
    <sheet name="TableBranch" sheetId="13" r:id="rId11"/>
    <sheet name="TableCustomer" sheetId="14" r:id="rId12"/>
    <sheet name="TableEmployee" sheetId="15" r:id="rId13"/>
    <sheet name="TableServiceChargeManager" sheetId="16" r:id="rId14"/>
    <sheet name="TableTransaction" sheetId="17" r:id="rId15"/>
    <sheet name="TableTransactionType" sheetId="18" r:id="rId16"/>
  </sheets>
  <functionGroups builtInGroupCount="19"/>
  <definedNames>
    <definedName name="_xlnm._FilterDatabase" localSheetId="4" hidden="1">TemplateHTMLSinglePageApp!$A$1:$E$65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 i="4" l="1"/>
  <c r="N3" i="4"/>
  <c r="C11" i="8" l="1"/>
  <c r="C10" i="8"/>
  <c r="C7" i="8"/>
  <c r="C6" i="8"/>
  <c r="C9" i="7"/>
  <c r="C8" i="7"/>
  <c r="C7" i="7"/>
  <c r="C6" i="7"/>
  <c r="C5" i="7"/>
  <c r="C10" i="3"/>
  <c r="C9" i="3"/>
  <c r="C8" i="3"/>
  <c r="C7" i="3"/>
  <c r="C6" i="3"/>
  <c r="C5" i="3"/>
  <c r="C16" i="4"/>
  <c r="C11" i="4"/>
  <c r="C9" i="4"/>
  <c r="C5" i="4"/>
</calcChain>
</file>

<file path=xl/sharedStrings.xml><?xml version="1.0" encoding="utf-8"?>
<sst xmlns="http://schemas.openxmlformats.org/spreadsheetml/2006/main" count="1240" uniqueCount="685">
  <si>
    <t>Name</t>
  </si>
  <si>
    <t>Type</t>
  </si>
  <si>
    <t>Namespace</t>
  </si>
  <si>
    <t>Value</t>
  </si>
  <si>
    <t>Context</t>
  </si>
  <si>
    <t>Header</t>
  </si>
  <si>
    <t>Grid</t>
  </si>
  <si>
    <t>Source</t>
  </si>
  <si>
    <t>Account</t>
  </si>
  <si>
    <t>Branch</t>
  </si>
  <si>
    <t>FirstName</t>
  </si>
  <si>
    <t>LastName</t>
  </si>
  <si>
    <t>CustomerID</t>
  </si>
  <si>
    <t>CustomerTicket</t>
  </si>
  <si>
    <t>Address</t>
  </si>
  <si>
    <t>City</t>
  </si>
  <si>
    <t>State</t>
  </si>
  <si>
    <t>ZipCode</t>
  </si>
  <si>
    <t>TIN</t>
  </si>
  <si>
    <t>int</t>
  </si>
  <si>
    <t>Guid</t>
  </si>
  <si>
    <t>string</t>
  </si>
  <si>
    <t>DataType</t>
  </si>
  <si>
    <t>AccountID</t>
  </si>
  <si>
    <t>AccountTicket</t>
  </si>
  <si>
    <t>AccountStatus</t>
  </si>
  <si>
    <t>BalanceAvailable</t>
  </si>
  <si>
    <t>decimal</t>
  </si>
  <si>
    <t>BalancePending</t>
  </si>
  <si>
    <t>DateOpened</t>
  </si>
  <si>
    <t>DateTime</t>
  </si>
  <si>
    <t>DateClosed</t>
  </si>
  <si>
    <t>DateLastActivity</t>
  </si>
  <si>
    <t>BranchID</t>
  </si>
  <si>
    <t>EmployeeID</t>
  </si>
  <si>
    <t>CustomerName</t>
  </si>
  <si>
    <t>BranchName</t>
  </si>
  <si>
    <t>bnkCustomer</t>
  </si>
  <si>
    <t>bnkBranch</t>
  </si>
  <si>
    <t>EmployeeName</t>
  </si>
  <si>
    <t>bnkEmployee</t>
  </si>
  <si>
    <t>IIF(LEN(FirstName) &gt; 0 AND LEN(LastName) &gt; 0, FirstName + " " + LastName, FirstName + LastName)</t>
  </si>
  <si>
    <t>Alias</t>
  </si>
  <si>
    <t>KeyName</t>
  </si>
  <si>
    <t>KeyValue</t>
  </si>
  <si>
    <t>Desktop / Microsoft VisualBasic for Applications (VBA6)</t>
  </si>
  <si>
    <t>Web / HTML5</t>
  </si>
  <si>
    <t>Web / KendoUI.MVVM</t>
  </si>
  <si>
    <t>Desktop / Windows Presentation Foundation (WPF)</t>
  </si>
  <si>
    <t>Demonstrate</t>
  </si>
  <si>
    <t>Programming / MVVM</t>
  </si>
  <si>
    <t>Programming / Entity Framework</t>
  </si>
  <si>
    <t>Programming / C#</t>
  </si>
  <si>
    <t>Scripting / JavaScript</t>
  </si>
  <si>
    <t>Scripting / JQuery</t>
  </si>
  <si>
    <t>Desktop / Excel-Driven Development Automation (EDDA)</t>
  </si>
  <si>
    <t>Desktop / Visual Studio Projects</t>
  </si>
  <si>
    <t>Programming / Class Libraries</t>
  </si>
  <si>
    <t>Data / XML</t>
  </si>
  <si>
    <t>Data / JSON</t>
  </si>
  <si>
    <t>using System;</t>
  </si>
  <si>
    <t>using System.Collections.Generic;</t>
  </si>
  <si>
    <t>using System.Collections.ObjectModel;</t>
  </si>
  <si>
    <t>using System.ComponentModel;</t>
  </si>
  <si>
    <t>using System.Data.Entity;</t>
  </si>
  <si>
    <t>using System.Linq;</t>
  </si>
  <si>
    <t>using System.Reflection;</t>
  </si>
  <si>
    <t>using System.Runtime.Serialization;</t>
  </si>
  <si>
    <t>using System.Text;</t>
  </si>
  <si>
    <t>using System.Threading.Tasks;</t>
  </si>
  <si>
    <t>Using</t>
  </si>
  <si>
    <t>BankViewModel</t>
  </si>
  <si>
    <t>Class</t>
  </si>
  <si>
    <t>Section</t>
  </si>
  <si>
    <t>Private</t>
  </si>
  <si>
    <t>Protected</t>
  </si>
  <si>
    <t>Public</t>
  </si>
  <si>
    <t>Method</t>
  </si>
  <si>
    <t>Add</t>
  </si>
  <si>
    <t>Property</t>
  </si>
  <si>
    <t>Content</t>
  </si>
  <si>
    <t>Active</t>
  </si>
  <si>
    <t>Field</t>
  </si>
  <si>
    <t>get, set</t>
  </si>
  <si>
    <t>Select</t>
  </si>
  <si>
    <t>get SQL</t>
  </si>
  <si>
    <t>System</t>
  </si>
  <si>
    <t>System.Collections.Generic</t>
  </si>
  <si>
    <t>System.Collections.ObjectModel</t>
  </si>
  <si>
    <t>System.ComponentModel</t>
  </si>
  <si>
    <t>System.Data.Entity</t>
  </si>
  <si>
    <t>System.Linq</t>
  </si>
  <si>
    <t>System.Reflection</t>
  </si>
  <si>
    <t>System.Runtime.Serialization</t>
  </si>
  <si>
    <t>System.Text</t>
  </si>
  <si>
    <t>System.Threading.Tools</t>
  </si>
  <si>
    <t>_Constructor</t>
  </si>
  <si>
    <t>AddOrUpdate</t>
  </si>
  <si>
    <t>ElementType</t>
  </si>
  <si>
    <t>Exists</t>
  </si>
  <si>
    <t>Expression</t>
  </si>
  <si>
    <t>Load</t>
  </si>
  <si>
    <t>Queryable</t>
  </si>
  <si>
    <t>Remove</t>
  </si>
  <si>
    <t>SaveChanges</t>
  </si>
  <si>
    <t>SetItemModified</t>
  </si>
  <si>
    <t>Item</t>
  </si>
  <si>
    <t>Collection</t>
  </si>
  <si>
    <t>ItemPropertyNames</t>
  </si>
  <si>
    <t>Parent</t>
  </si>
  <si>
    <t>Table</t>
  </si>
  <si>
    <t>FieldRepeat(get, set)</t>
  </si>
  <si>
    <t>FieldRepeat(get SQL)</t>
  </si>
  <si>
    <t>Space</t>
  </si>
  <si>
    <t>DefaultValue</t>
  </si>
  <si>
    <t>Guid.Empty</t>
  </si>
  <si>
    <t>DateTime.MinValue</t>
  </si>
  <si>
    <t xml:space="preserve">{T,2}//*-----------------------------------------------------------------------*
{T,2}//*{T}_Constructor{T,29}*
{T,2}//*-----------------------------------------------------------------------*
{T,2}/// &lt;summary&gt;
{T,2}/// Create a new Instance of the {Item}Collection Item.
{T,2}/// &lt;/summary&gt;
{T,2}public {Item}Collection()
{T,2}{
{T,2}}
{T,2}//*- - - - - - - - - - - - - - - - - - - - - - - - - - - - - - - - - - - -*
{T,2}/// &lt;summary&gt;
{T,2}/// Create a new Instance of the {Item}Collection Item.
{T,2}/// &lt;/summary&gt;
{T,2}public {Item}Collection(bankEntities context)
{T,2}{
{T,3}mContext = context;
{T,2}}
{T,2}//*-----------------------------------------------------------------------*
</t>
  </si>
  <si>
    <t xml:space="preserve">{T,2}//*-----------------------------------------------------------------------*
{T,2}//*{T}Context{T,32}*
{T,2}//*-----------------------------------------------------------------------*
{T,2}private bankEntities mContext = null;
{T,2}/// &lt;summary&gt;
{T,2}/// Get/Set a reference to the current data model content.
{T,2}/// &lt;/summary&gt;
{T,2}public bankEntities Context
{T,2}{
{T,3}get
{T,3}{
{T,4}if(mContext == null)
{T,4}{
{T,5}mContext = new bankEntities();
{T,4}}
{T,4}return mContext;
{T,3}}
{T,3}set { mContext = value; }
{T,2}}
{T,2}//*-----------------------------------------------------------------------*
</t>
  </si>
  <si>
    <t xml:space="preserve">{T,2}//*-----------------------------------------------------------------------*
{T,2}//*{T}ElementType{T,30}*
{T,2}//*-----------------------------------------------------------------------*
{T,2}private Type mElementType = typeof({Item}Item);
{T,2}/// &lt;summary&gt;
{T,2}/// Get the type of element returned when the expression tree associated
{T,2}/// with this instance is executed.
{T,2}/// &lt;/summary&gt;
{T,2}public Type ElementType
{T,2}{
{T,3}get { return mElementType; }
{T,2}}
{T,2}//*-----------------------------------------------------------------------*
</t>
  </si>
  <si>
    <t xml:space="preserve">{T,2}//*-----------------------------------------------------------------------*
{T,2}//*{T}Exists{T,32}*
{T,2}//*-----------------------------------------------------------------------*
{T,2}/// &lt;summary&gt;
{T,2}/// Return a value indicating whether the specified {LItem} exists in
{T,2}/// this collection.
{T,2}/// &lt;/summary&gt;
{T,2}public bool Exists(int {LItem}ID)
{T,2}{
{T,3}bool rv = (this.First(r =&gt; r.{Item}ID == {LItem}ID) != null);
{T,3}return rv;
{T,2}}
{T,2}//*-----------------------------------------------------------------------*
</t>
  </si>
  <si>
    <t xml:space="preserve">{T,2}//*-----------------------------------------------------------------------*
{T,2}//*{T}Expression{T,30}*
{T,2}//*-----------------------------------------------------------------------*
{T,2}private System.Linq.Expressions.Expression mExpression =
{T,3}System.Linq.Expressions.Expression.New(typeof({Item}Collection));
{T,2}/// &lt;summary&gt;
{T,2}/// Get the expression tree associated with this instance of IQueryable.
{T,2}/// &lt;/summary&gt;
{T,2}public System.Linq.Expressions.Expression Expression
{T,2}{
{T,3}get { return mExpression; }
{T,2}}
{T,2}//*-----------------------------------------------------------------------*
</t>
  </si>
  <si>
    <t xml:space="preserve">{T,2}//*-----------------------------------------------------------------------*
{T,2}//*{T}Queryable{T,31}*
{T,2}//*-----------------------------------------------------------------------*
{T,2}/// &lt;summary&gt;
{T,2}/// Get a reference to the queryable list for this collection.
{T,2}/// &lt;/summary&gt;
{T,2}public IQueryable&lt;CustomerItem&gt; Queryable
{T,2}{
{T,3}get
{T,3}{
{T,4}return this.AsQueryable();
{T,3}}
{T,2}}
{T,2}//*-----------------------------------------------------------------------*
</t>
  </si>
  <si>
    <t xml:space="preserve">{T,2}//*-----------------------------------------------------------------------*
{T,2}//*{T}SaveChanges{T,30}*
{T,2}//*-----------------------------------------------------------------------*
{T,2}/// &lt;summary&gt;
{T,2}/// Save all of the changes in the associated entity collection.
{T,2}/// &lt;/summary&gt;
{T,2}public void SaveChanges()
{T,2}{
{T,3}bankEntities cx = Context;
{T,3}cx.SaveChanges();
{T,2}}
{T,2}//*-----------------------------------------------------------------------*
</t>
  </si>
  <si>
    <t xml:space="preserve">{T,2}//*-----------------------------------------------------------------------*
{T,2}//*{T}SetItemModified{T,28}*
{T,2}//*-----------------------------------------------------------------------*
{T,2}/// &lt;summary&gt;
{T,2}/// Set the background state to modified for the specified item.
{T,2}/// &lt;/summary&gt;
{T,2}public void SetItemModified({Item}Item item)
{T,2}{
{T,3}if(item != null &amp;&amp; item.EntityItem != null &amp;&amp; mContext != null)
{T,3}{
{T,4}mContext.Entry(item.EntityItem).State = EntityState.Modified;
{T,3}}
{T,2}}
{T,2}//*-----------------------------------------------------------------------*
</t>
  </si>
  <si>
    <t>{T}//*-------------------------------------------------------------------------*
{T}//*{T}{Item}Item{TabsTo,79,{T}//*{T}{Item}Item}*
{T}//*-------------------------------------------------------------------------*
{T}/// &lt;summary&gt;
{T}/// Information about the {LItem}.
{T}/// &lt;/summary&gt;
{T}[DataContract]
{T}public class {Item}Item : TransientItem</t>
  </si>
  <si>
    <t xml:space="preserve">{T,2}private static List&lt;string&gt; {Item}ItemPropertyNames =
{T,3}new List&lt;string&gt;(
{T,3}new string[] { {FieldNameList} });
</t>
  </si>
  <si>
    <t xml:space="preserve">{T,2}//*-----------------------------------------------------------------------*
{T,2}//*{T}_Constructor{T,29}*
{T,2}//*-----------------------------------------------------------------------*
{T,2}/// &lt;summary&gt;
{T,2}/// Create a new Instance of the {Item}Item Item.
{T,2}/// &lt;/summary&gt;
{T,2}public {Item}Item()
{T,2}{
{T,3}PropertyNames = {Item}ItemPropertyNames;
{T,2}}
{T,2}//*- - - - - - - - - - - - - - - - - - - - - - - - - - - - - - - - - - - -*
{T,2}/// &lt;summary&gt;
{T,2}/// Create a new Instance of the {Item}Item Item.
{T,2}/// &lt;/summary&gt;
{T,2}public {Item}Item({Item}Collection parent, bnk{Item} {LItem}) :
{T,3}this()
{T,2}{
{T,3}mParent = parent;
{T,3}EntityItem = {LItem};
{T,2}}
{T,2}//*-----------------------------------------------------------------------*
</t>
  </si>
  <si>
    <t xml:space="preserve">{T,2}//*-----------------------------------------------------------------------*
{T,2}//*{T}{FieldName}{TabsTo,79,{T,2}//*{T}{FieldName}}*
{T,2}//*-----------------------------------------------------------------------*
{T,2}private {FieldDataType} m{FieldName} = {FieldDefaultValue};
{T,2}/// &lt;summary&gt;
{T,2}/// Get/Set the {FieldName} of the {LItem}.
{T,2}/// &lt;/summary&gt;
{T,2}[DataMember]
{T,2}public {FieldDataType} {FieldName}
{T,2}{
{T,3}get { return m{FieldName}; }
{T,3}set
{T,3}{
{T,4}m{FieldName} = value;
{T,4}OnPropertyChanged("{FieldName}");
{T,3}}
{T,2}}
{T,2}//*-----------------------------------------------------------------------*
</t>
  </si>
  <si>
    <t xml:space="preserve">{T,2}//*-----------------------------------------------------------------------*
{T,2}//*{T}{FieldName}{TabsTo,79,{T,2}//*{T}{FieldName}}*
{T,2}//*-----------------------------------------------------------------------*
{T,2}/// &lt;summary&gt;
{T,2}/// Get the {FieldName} of the {LItem}.
{T,2}/// &lt;/summary&gt;
{T,2}public {FieldDataType} {FieldName}
{T,2}{
{T,3}get
{T,3}{
{T,4}return SQLHelper.GetScalar{FieldSQLType}(
{T,5}"SELECT {FieldSelect} AS {FieldAlias} " +
{T,5}"FROM {FieldTable} " +
{T,5}"WHERE {FieldKeyName} = " + SQLHelper.ToSql({FieldKeyValue})
{T,4});
{T,3}}
{T,2}}
{T,2}//*-----------------------------------------------------------------------*
</t>
  </si>
  <si>
    <t xml:space="preserve">{T,2}//*-----------------------------------------------------------------------*
{T,2}//*{T}Parent{T,32}*
{T,2}//*-----------------------------------------------------------------------*
{T,2}private {Item}Collection mParent = null;
{T,2}/// &lt;summary&gt;
{T,2}/// Get/Set a reference to the parent collection to which this item is
{T,2}/// attached.
{T,2}/// &lt;/summary&gt;
{T,2}public {Item}Collection Parent
{T,2}{
{T,3}get { return mParent; }
{T,3}set { mParent = value; }
{T,2}}
{T,2}//*-----------------------------------------------------------------------*
</t>
  </si>
  <si>
    <t>{T}//*-------------------------------------------------------------------------*
{T}//*{T}{Item}Collection{TabsTo,79,{T}//*{T}{Item}Collection}*
{T}//*-------------------------------------------------------------------------*
{T}/// &lt;summary&gt;
{T}/// Collection of {Item}Item Items.
{T}/// &lt;/summary&gt;
{T}public class {Item}Collection : ObservableCollection&lt;{Item}Item&gt;</t>
  </si>
  <si>
    <t>BranchTicket</t>
  </si>
  <si>
    <t>EmployeeTicket</t>
  </si>
  <si>
    <t>DateStarted</t>
  </si>
  <si>
    <t>DateEnded</t>
  </si>
  <si>
    <t>Title</t>
  </si>
  <si>
    <t>Publish</t>
  </si>
  <si>
    <t>Create SQL tables in database of your choice.</t>
  </si>
  <si>
    <t>Set Connection properties in App.Config and Web.Config</t>
  </si>
  <si>
    <t>using System.Data;</t>
  </si>
  <si>
    <t>using System.Data.Entity.Infrastructure;</t>
  </si>
  <si>
    <t>using System.Net;</t>
  </si>
  <si>
    <t>using System.Net.Http;</t>
  </si>
  <si>
    <t>using System.Web.Http;</t>
  </si>
  <si>
    <t>using System.Web.Http.Description;</t>
  </si>
  <si>
    <t>System.Data</t>
  </si>
  <si>
    <t>System.Data.Entity.Infrastructure</t>
  </si>
  <si>
    <t>System.Net</t>
  </si>
  <si>
    <t>System.Net.Http</t>
  </si>
  <si>
    <t>System.Web.Http</t>
  </si>
  <si>
    <t>System.Web.Http.Description</t>
  </si>
  <si>
    <t>using BankViewModel;</t>
  </si>
  <si>
    <t>BankWEB</t>
  </si>
  <si>
    <t>Controller</t>
  </si>
  <si>
    <t>mDB</t>
  </si>
  <si>
    <t xml:space="preserve">{T,2}private bankEntities mDB = new bankEntities();
</t>
  </si>
  <si>
    <t>Dispose</t>
  </si>
  <si>
    <t xml:space="preserve">{T,2}//*-----------------------------------------------------------------------*
{T,2}//*{T}Dispose{T,32}*
{T,2}//*-----------------------------------------------------------------------*
{T,2}/// &lt;summary&gt;
{T,2}/// When disposing, also dispose of the context.
{T,2}/// &lt;/summary&gt;
{T,2}/// &lt;param name="disposing"&gt;&lt;/param&gt;
{T,2}protected override void Dispose(bool disposing)
{T,2}{
{T,3}if(disposing)
{T,3}{
{T,4}mDB.Dispose();
{T,3}}
{T,3}base.Dispose(disposing);
{T,2}}
{T,2}//*-----------------------------------------------------------------------*
</t>
  </si>
  <si>
    <t>FieldRepeat(item)</t>
  </si>
  <si>
    <t>Delete</t>
  </si>
  <si>
    <t>Get</t>
  </si>
  <si>
    <t>GetAll</t>
  </si>
  <si>
    <t>PostItem</t>
  </si>
  <si>
    <t>PutItem</t>
  </si>
  <si>
    <t>{T}//*-------------------------------------------------------------------------*
{T}//*{T}{Items}Controller{TabsTo,79,{T}//*{T}{Items}Controller}*
{T}//*-------------------------------------------------------------------------*
{T}/// &lt;summary&gt;
{T}/// Web API 2 Controller for transient {LItem} objects.
{T}/// &lt;/summary&gt;
{T}public class {Items}Controller : ApiController</t>
  </si>
  <si>
    <t xml:space="preserve">{T,2}//*-----------------------------------------------------------------------*
{T,2}//*{T}_Constructor{T,29}*
{T,2}//*-----------------------------------------------------------------------*
{T,2}/// &lt;summary&gt;
{T,2}/// Create a new Instance of the {Items}Controller Item.
{T,2}/// &lt;/summary&gt;
{T,2}public {Items}Controller()
{T,2}{
{T,3}m{Items} = new {Item}Collection(mDB);
{T,3}m{Items}.Load();
{T,2}}
{T,2}//*-----------------------------------------------------------------------*
</t>
  </si>
  <si>
    <t xml:space="preserve">{T,2}//*-----------------------------------------------------------------------*
{T,2}//*{T}{Items}{TabsTo,79,{T,2}//*{T}{Items}}*
{T,2}//*-----------------------------------------------------------------------*
{T,2}private {Item}Collection m{Items} = null;
{T,2}/// &lt;summary&gt;
{T,2}/// Get a reference to the collection of {LItems} driven by this
{T,2}/// interface.
{T,2}/// &lt;/summary&gt;
{T,2}public {Item}Collection {Items}
{T,2}{
{T,3}get { return m{Items}; }
{T,2}}
{T,2}//*-----------------------------------------------------------------------*
</t>
  </si>
  <si>
    <t xml:space="preserve">{T,2}//*-----------------------------------------------------------------------*
{T,2}//*{T}Delete{Item}{TabsTo,79,{T,2}//*{T}Delete{Item}}*
{T,2}//*-----------------------------------------------------------------------*
{T,2}/// &lt;summary&gt;
{T,2}/// DELETE: api/{Items}/5
{T,2}/// &lt;/summary&gt;
{T,2}/// &lt;remarks&gt;
{T,2}/// Delete the specified {LItem}.
{T,2}/// &lt;/remarks&gt;
{T,2}[ResponseType(typeof({Item}Item))]
{T,2}public IHttpActionResult Delete{Item}(int id)
{T,2}{
{T,3}{Item}Item ci = m{Items}.First(r =&gt; r.{Item}ID == id);
{T,3}if(ci == null)
{T,3}{
{T,4}return NotFound();
{T,3}}
{T,3}m{Items}.Remove(ci);
{T,3}m{Items}.SaveChanges();
{T,3}return Ok(ci);
{T,2}}
{T,2}//*-----------------------------------------------------------------------*
</t>
  </si>
  <si>
    <t xml:space="preserve">{T,2}//*-----------------------------------------------------------------------*
{T,2}//*{T}Get{Item}{TabsTo,79,{T,2}//*{T}Get{Item}}*
{T,2}//*-----------------------------------------------------------------------*
{T,2}/// &lt;summary&gt;
{T,2}/// GET: api/{Items}/5
{T,2}/// &lt;/summary&gt;
{T,2}/// &lt;remarks&gt;
{T,2}/// &lt;para&gt;
{T,2}/// Return the specified {LItem}.
{T,2}/// &lt;/para&gt;
{T,2}/// &lt;para&gt;
{T,2}/// Even with a single entry, it is important to return an array due to
{T,2}/// the fact that the Kendo UI DataSource will only bind to an array.
{T,2}/// &lt;/para&gt;
{T,2}/// &lt;/remarks&gt;
{T,2}[ResponseType(typeof({Item}Item[]))]
{T,2}public IHttpActionResult Get{Item}(int id)
{T,2}{
{T,3}{Item}Item ci = m{Items}.First(r =&gt; r.{Item}ID == id);
{T,3}{Item}Item[] ro = new {Item}Item[] { ci };
{T,3}if(ci == null)
{T,3}{
{T,4}return NotFound();
{T,3}}
{T,3}return Ok(ro);
{T,2}}
{T,2}//*-----------------------------------------------------------------------*
</t>
  </si>
  <si>
    <t xml:space="preserve">{T,2}//*-----------------------------------------------------------------------*
{T,2}//*{T}Get{Items}{TabsTo,79,{T,2}//*{T}Get{Items}}*
{T,2}//*-----------------------------------------------------------------------*
{T,2}/// &lt;summary&gt;
{T,2}/// GET: api/{Items}
{T,2}/// &lt;/summary&gt;
{T,2}/// &lt;remarks&gt;
{T,2}/// Return all {LItems}.
{T,2}/// &lt;/remarks&gt;
{T,2}public IQueryable&lt;{Item}Item&gt; Get{Items}()
{T,2}{
{T,3}m{Items}.Load();
{T,3}return m{Items}.AsQueryable&lt;{Item}Item&gt;();
{T,2}}
{T,2}//*-----------------------------------------------------------------------*
</t>
  </si>
  <si>
    <t xml:space="preserve">{T,2}//*-----------------------------------------------------------------------*
{T,2}//*{T}Post{Item}{TabsTo,79,{T,2}//*{T}Post{Item}}*
{T,2}//*-----------------------------------------------------------------------*
{T,2}/// &lt;summary&gt;
{T,2}/// POST: api/{Items}
{T,2}/// &lt;/summary&gt;
{T,2}/// &lt;remarks&gt;
{T,2}/// Use an HTTP POST to store information about {AAn} {LItem}.
{T,2}/// JavaScriptSerializer is found in System.Web.Extensions.
{T,2}/// &lt;/remarks&gt;
{T,2}[ResponseType(typeof({Item}Item))]
{T,2}public IHttpActionResult Post{Item}({Item}Item {LItem})
{T,2}{
{T,3}if(!ModelState.IsValid)
{T,3}{
{T,4}return BadRequest(ModelState);
{T,3}}
{T,3}{LItem} = m{Items}.AddOrUpdate({LItem});
{T,3}m{Items}.SaveChanges();
{T,3}return CreatedAtRoute("DefaultApi",
{T,4}new { id = {LItem}.{Item}ID }, {LItem});
{T,2}}
{T,2}//*-----------------------------------------------------------------------*
</t>
  </si>
  <si>
    <t xml:space="preserve">{T,2}//*-----------------------------------------------------------------------*
{T,2}//*{T}Put{Item}{TabsTo,79,{T,2}//*{T}Put{Item}}*
{T,2}//*-----------------------------------------------------------------------*
{T,2}/// &lt;summary&gt;
{T,2}/// PUT: api/{Items}/5
{T,2}/// &lt;/summary&gt;
{T,2}[ResponseType(typeof(void))]
{T,2}public IHttpActionResult Put{Item}(int id, {Item}Item {LItem})
{T,2}{
{T,3}if(!ModelState.IsValid)
{T,3}{
{T,4}return BadRequest(ModelState);
{T,3}}
{T,3}if(id != {LItem}.{Item}ID || !m{Items}.Exists(id))
{T,3}{
{T,4}return BadRequest();
{T,3}}
{T,3}{LItem} = m{Items}.AddOrUpdate({LItem});
{T,3}m{Items}.SaveChanges();
{T,3}return StatusCode(HttpStatusCode.NoContent);
{T,2}}
{T,2}//*-----------------------------------------------------------------------*
</t>
  </si>
  <si>
    <t xml:space="preserve">{T,2}//*-----------------------------------------------------------------------*
{T,2}//*{T}Add{T,34}*
{T,2}//*-----------------------------------------------------------------------*
{T,2}/// &lt;summary&gt;
{T,2}/// Add a new {Item}Item to the collection.
{T,2}/// &lt;/summary&gt;
{T,2}public new void Add({Item}Item {LItem})
{T,2}{
{T,3}bnk{Item} ci = null;
{T,3}if({LItem} != null)
{T,3}{
{T,4}base.Add({LItem});
{T,4}if({LItem}.EntityItem == null &amp;&amp; mContext != null)
{T,4}{
{T,5}{LItem}.HasPresetValues = true;
{T,5}ci = new bnk{Item}();
{T,5}mContext.bnk{Items}.Add(ci);
{T,5}{LItem}.EntityItem = ci;
{T,4}}
{T,3}}
{T,2}}
{T,2}//*-----------------------------------------------------------------------*
</t>
  </si>
  <si>
    <t xml:space="preserve">{T,2}//*-----------------------------------------------------------------------*
{T,2}//*{T}AddOrUpdate{T,30}*
{T,2}//*-----------------------------------------------------------------------*
{T,2}/// &lt;summary&gt;
{T,2}/// Add a new {Item}Item to the collection, or update the existing one.
{T,2}/// &lt;/summary&gt;
{T,2}public {Item}Item AddOrUpdate({Item}Item {LItem})
{T,2}{
{T,3}bnk{Item} ci = null;{T,3}// Internal Item.
{T,3}{Item}Item cx = null;{T,3}// Existing Item.
{T,3}if({LItem} != null)
{T,3}{
{T,4}cx = this.First(r =&gt; r.{Item}ID == {LItem}.{Item}ID);
{T,4}if(cx == null)
{T,4}{
{T,5}// Create new item.
{T,5}base.Add({LItem});
{T,5}if({LItem}.EntityItem == null &amp;&amp; mContext != null)
{T,5}{
{T,6}{LItem}.HasPresetValues = true;
{T,6}ci = new bnk{Item}();
{T,6}mContext.bnk{Items}.Add(ci);
{T,6}{LItem}.EntityItem = ci;
{T,5}}
{T,5}cx = {LItem};
{T,4}}
{T,4}else
{T,4}{
{T,5}// Item already existed.
{T,5}{LItem}.TransferProperties(cx);
{T,4}}
{T,3}}
{T,3}return cx;
{T,2}}
{T,2}//*-----------------------------------------------------------------------*
</t>
  </si>
  <si>
    <t xml:space="preserve">{T,2}//*-----------------------------------------------------------------------*
{T,2}//*{T}Load{T,33}*
{T,2}//*-----------------------------------------------------------------------*
{T,2}/// &lt;summary&gt;
{T,2}/// Load all {LItems}.
{T,2}/// &lt;/summary&gt;
{T,2}public bool Load()
{T,2}{
{T,3}bankEntities cx = Context;
{T,3}bool rv = false;   // Return Value.
{T,3}this.Clear();
{T,3}cx.bnk{Items}.Load();
{T,3}foreach(bnk{Item} ci in cx.bnk{Items})
{T,3}{
{T,4}this.Add(new {Item}Item(this, ci));
{T,3}}
{T,3}return rv;
{T,2}}
{T,2}//*-----------------------------------------------------------------------*
</t>
  </si>
  <si>
    <t xml:space="preserve">{T,2}//*-----------------------------------------------------------------------*
{T,2}//*{T}Remove{T,32}*
{T,2}//*-----------------------------------------------------------------------*
{T,2}/// &lt;summary&gt;
{T,2}/// Remove the specified {LItem} from the collection.
{T,2}/// &lt;/summary&gt;
{T,2}public new void Remove({Item}Item {LItem})
{T,2}{
{T,3}{Item}Item ci = null;
{T,3}if({LItem} != null)
{T,3}{
{T,4}// Value is specified.
{T,4}ci = this.First(r =&gt; r.{Item}ID == {LItem}.{Item}ID);
{T,4}if(ci != null)
{T,4}{
{T,5}// Member item found.
{T,5}if(ci.EntityItem != null &amp;&amp; mContext != null)
{T,5}{
{T,6}mContext.bnk{Items}.Remove((bnk{Item})ci.EntityItem);
{T,5}}
{T,5}this.Remove(ci);
{T,4}}
{T,3}}
{T,2}}
{T,2}//*-----------------------------------------------------------------------*
</t>
  </si>
  <si>
    <t>object</t>
  </si>
  <si>
    <t>item</t>
  </si>
  <si>
    <t>Customer</t>
  </si>
  <si>
    <t>Employee</t>
  </si>
  <si>
    <t>IsData</t>
  </si>
  <si>
    <t>ComponentCustomer, ComponentAccount, ComponentBranch, ComponentEmployee</t>
  </si>
  <si>
    <t>DocType</t>
  </si>
  <si>
    <t>&lt;html xmlns="http://www.w3.org/1999/xhtml"&gt;</t>
  </si>
  <si>
    <t>&lt;head&gt;</t>
  </si>
  <si>
    <t>&lt;!-- Base formatting. --&gt;</t>
  </si>
  <si>
    <t>&lt;/head&gt;</t>
  </si>
  <si>
    <t>&lt;body&gt;</t>
  </si>
  <si>
    <t>TabControl</t>
  </si>
  <si>
    <t>TabStrip</t>
  </si>
  <si>
    <t>tabstrip</t>
  </si>
  <si>
    <t>body</t>
  </si>
  <si>
    <t>head</t>
  </si>
  <si>
    <t>html</t>
  </si>
  <si>
    <t>notes</t>
  </si>
  <si>
    <t>title</t>
  </si>
  <si>
    <t>style</t>
  </si>
  <si>
    <t>script</t>
  </si>
  <si>
    <t>/head</t>
  </si>
  <si>
    <t>&lt;ul&gt;</t>
  </si>
  <si>
    <t>tab</t>
  </si>
  <si>
    <t>&lt;/ul&gt;</t>
  </si>
  <si>
    <t>tabPanel</t>
  </si>
  <si>
    <t>Display</t>
  </si>
  <si>
    <t>ID</t>
  </si>
  <si>
    <t>Status</t>
  </si>
  <si>
    <t>Ticket</t>
  </si>
  <si>
    <t>Branch ID</t>
  </si>
  <si>
    <t>Balance Available</t>
  </si>
  <si>
    <t>Balance Pending</t>
  </si>
  <si>
    <t>Branch Name</t>
  </si>
  <si>
    <t>Customer ID</t>
  </si>
  <si>
    <t>Customer Name</t>
  </si>
  <si>
    <t>Date Closed</t>
  </si>
  <si>
    <t>Date Last Activity</t>
  </si>
  <si>
    <t>Date Opened</t>
  </si>
  <si>
    <t>Employee ID</t>
  </si>
  <si>
    <t>Employee Name</t>
  </si>
  <si>
    <t>Editor</t>
  </si>
  <si>
    <t>ReadOnly</t>
  </si>
  <si>
    <t>Text</t>
  </si>
  <si>
    <t>Currency</t>
  </si>
  <si>
    <t>Zip Code</t>
  </si>
  <si>
    <t>DisplayName</t>
  </si>
  <si>
    <t>""</t>
  </si>
  <si>
    <t>Override</t>
  </si>
  <si>
    <t>get { return (FirstName.Length &gt; 0 &amp;&amp; LastName.Length &gt; 0 ? FirstName + " " + LastName : FirstName + LastName); }</t>
  </si>
  <si>
    <t>Display Name</t>
  </si>
  <si>
    <t>First Name</t>
  </si>
  <si>
    <t>Last Name</t>
  </si>
  <si>
    <t>Date Started</t>
  </si>
  <si>
    <t>Date Ended</t>
  </si>
  <si>
    <t>UI Key</t>
  </si>
  <si>
    <t>UI Value</t>
  </si>
  <si>
    <t>UI Display</t>
  </si>
  <si>
    <t>UI Update</t>
  </si>
  <si>
    <t>UI Source</t>
  </si>
  <si>
    <t>DatePicker</t>
  </si>
  <si>
    <t>UpdateDisplayName(this, FirstName, LastName)</t>
  </si>
  <si>
    <t>ComponentPages</t>
  </si>
  <si>
    <t>Default</t>
  </si>
  <si>
    <t>Programming / Dynamic Expression Handling (Runtime User Expressions)</t>
  </si>
  <si>
    <t>PublishConnectionDataSource</t>
  </si>
  <si>
    <t>123.45.67.89</t>
  </si>
  <si>
    <t>AnyDatabaseName</t>
  </si>
  <si>
    <t>PublishConnectionInitialCatalog</t>
  </si>
  <si>
    <t>PublishConnectionUserID</t>
  </si>
  <si>
    <t>ASQLUsername</t>
  </si>
  <si>
    <t>PublishConnectionPassword</t>
  </si>
  <si>
    <t>StrongPassword123?</t>
  </si>
  <si>
    <t>ComponentColumn.Name</t>
  </si>
  <si>
    <t>ComponentColumn.DataType</t>
  </si>
  <si>
    <t>ComponentColumn.DefaultValue</t>
  </si>
  <si>
    <t>ComponentColumn.IsData</t>
  </si>
  <si>
    <t>ComponentColumn.Source</t>
  </si>
  <si>
    <t>ComponentColumn.Table</t>
  </si>
  <si>
    <t>ComponentColumn.Select</t>
  </si>
  <si>
    <t>ComponentColumn.Alias</t>
  </si>
  <si>
    <t>ComponentColumn.KeyName</t>
  </si>
  <si>
    <t>ComponentColumn.KeyValue</t>
  </si>
  <si>
    <t>ComponentColumn.Override</t>
  </si>
  <si>
    <t>ComponentColumn.Display</t>
  </si>
  <si>
    <t>ComponentColumn.Grid</t>
  </si>
  <si>
    <t>ComponentColumn.Editor</t>
  </si>
  <si>
    <t>ComponentColumn.ReadOnly</t>
  </si>
  <si>
    <t>ComponentColumn.UISource</t>
  </si>
  <si>
    <t>ComponentColumn.UIKey</t>
  </si>
  <si>
    <t>ComponentColumn.UIValue</t>
  </si>
  <si>
    <t>ComponentColumn.UIDisplay</t>
  </si>
  <si>
    <t>ComponentColumn.UIUpdate</t>
  </si>
  <si>
    <t>A</t>
  </si>
  <si>
    <t>O</t>
  </si>
  <si>
    <t>E</t>
  </si>
  <si>
    <t>L</t>
  </si>
  <si>
    <t>V</t>
  </si>
  <si>
    <t>B</t>
  </si>
  <si>
    <t>C</t>
  </si>
  <si>
    <t>D</t>
  </si>
  <si>
    <t>F</t>
  </si>
  <si>
    <t>G</t>
  </si>
  <si>
    <t>H</t>
  </si>
  <si>
    <t>I</t>
  </si>
  <si>
    <t>J</t>
  </si>
  <si>
    <t>K</t>
  </si>
  <si>
    <t>M</t>
  </si>
  <si>
    <t>N</t>
  </si>
  <si>
    <t>P</t>
  </si>
  <si>
    <t>Q</t>
  </si>
  <si>
    <t>R</t>
  </si>
  <si>
    <t>S</t>
  </si>
  <si>
    <t>T</t>
  </si>
  <si>
    <t>U</t>
  </si>
  <si>
    <t>ComponentFirstRow</t>
  </si>
  <si>
    <t>DatabaseName</t>
  </si>
  <si>
    <t>Length</t>
  </si>
  <si>
    <t>ComponentColumn.Length</t>
  </si>
  <si>
    <t>W</t>
  </si>
  <si>
    <t>ComponentColumn.Description</t>
  </si>
  <si>
    <t>X</t>
  </si>
  <si>
    <t>Description</t>
  </si>
  <si>
    <t>Local identification of this record.</t>
  </si>
  <si>
    <t>Global Identification of this record.</t>
  </si>
  <si>
    <t>Status of the account.</t>
  </si>
  <si>
    <t>Current available balance.</t>
  </si>
  <si>
    <t>Balance if all pending transactions are approved.</t>
  </si>
  <si>
    <t>Branch at which this account is domiciled.</t>
  </si>
  <si>
    <t>Name of the domicile branch.</t>
  </si>
  <si>
    <t>Customer to which this account belongs.</t>
  </si>
  <si>
    <t>Name of owner customer.</t>
  </si>
  <si>
    <t>Date upon which the account was closed.</t>
  </si>
  <si>
    <t>Date upon which the account experienced its last known activity.</t>
  </si>
  <si>
    <t>Date upon which the account was opened.</t>
  </si>
  <si>
    <t>Employee assigned to this account.</t>
  </si>
  <si>
    <t>Name of the responsible employee.</t>
  </si>
  <si>
    <t>Global identification of this record.</t>
  </si>
  <si>
    <t>Name of the branch.</t>
  </si>
  <si>
    <t>Branch address.</t>
  </si>
  <si>
    <t>Branch city.</t>
  </si>
  <si>
    <t>Branch state.</t>
  </si>
  <si>
    <t>Branch zip code.</t>
  </si>
  <si>
    <t>Customer name.</t>
  </si>
  <si>
    <t>Customer address.</t>
  </si>
  <si>
    <t>Customer city.</t>
  </si>
  <si>
    <t>Customer zip code.</t>
  </si>
  <si>
    <t>Customer tax identification number.</t>
  </si>
  <si>
    <t>Customer tax idenstficaston number.</t>
  </si>
  <si>
    <t>Display Name of the employee.</t>
  </si>
  <si>
    <t>Employee first name.</t>
  </si>
  <si>
    <t>Employee last name.</t>
  </si>
  <si>
    <t>Date upon which the employee started.</t>
  </si>
  <si>
    <t>Date upon which the employee left organization.</t>
  </si>
  <si>
    <t>Employee title.</t>
  </si>
  <si>
    <t>Employee tax identification number.</t>
  </si>
  <si>
    <t>ComponentColumn.IsDefault</t>
  </si>
  <si>
    <t>1,1</t>
  </si>
  <si>
    <t>Name of the folder to which rendered tables will be stored.</t>
  </si>
  <si>
    <t>TableFolderName</t>
  </si>
  <si>
    <t>Alias component column.</t>
  </si>
  <si>
    <t>Data Type component column.</t>
  </si>
  <si>
    <t>Default Value component column.</t>
  </si>
  <si>
    <t>Is Data component column.</t>
  </si>
  <si>
    <t>Is Default component column.</t>
  </si>
  <si>
    <t>Key Name component column.</t>
  </si>
  <si>
    <t>Key Value component column.</t>
  </si>
  <si>
    <t>Read Only component column.</t>
  </si>
  <si>
    <t>Description component column.</t>
  </si>
  <si>
    <t>Display component column.</t>
  </si>
  <si>
    <t>Editor component column.</t>
  </si>
  <si>
    <t>Grid component column.</t>
  </si>
  <si>
    <t>Length component column.</t>
  </si>
  <si>
    <t>Name component column.</t>
  </si>
  <si>
    <t>Override component column.</t>
  </si>
  <si>
    <t>Select component column.</t>
  </si>
  <si>
    <t>Source component column.</t>
  </si>
  <si>
    <t>Table component column.</t>
  </si>
  <si>
    <t>UI Display component column.</t>
  </si>
  <si>
    <t>UI Key component column.</t>
  </si>
  <si>
    <t>UI Source component column.</t>
  </si>
  <si>
    <t>UI Update component column.</t>
  </si>
  <si>
    <t>UI Value component column.</t>
  </si>
  <si>
    <t>First data row in component sheet.</t>
  </si>
  <si>
    <t>Active component pages to publish.</t>
  </si>
  <si>
    <t>Backend database name.</t>
  </si>
  <si>
    <t>Publishing steps.</t>
  </si>
  <si>
    <t>Publishing info.</t>
  </si>
  <si>
    <t>C:\Temp\SQL</t>
  </si>
  <si>
    <t>TemplateColumn.Active</t>
  </si>
  <si>
    <t>TemplateColumn.Name</t>
  </si>
  <si>
    <t>TemplateColumn.Content</t>
  </si>
  <si>
    <t>TemplateColumn.Remark</t>
  </si>
  <si>
    <t>TemplateColumn.TypeName</t>
  </si>
  <si>
    <t>get override</t>
  </si>
  <si>
    <t>FieldRepeat(get override)</t>
  </si>
  <si>
    <t xml:space="preserve">{T,2}//*-----------------------------------------------------------------------*
{T,2}//*{T}{FieldName}{TabsTo,79,{T,2}//*{T}{FieldName}}*
{T,2}//*-----------------------------------------------------------------------*
{T,2}private {FieldDataType} m{FieldName} = {FieldDefaultValue};
{T,2}/// &lt;summary&gt;
{T,2}/// Get the {FieldName} of the {LItem}.
{T,2}/// &lt;/summary&gt;
{T,2}[DataMember]
{T,2}public {FieldDataType} {FieldName}
{T,2}{
{T,3}{FieldOverride}
{T,2}}
{T,2}//*-----------------------------------------------------------------------*
</t>
  </si>
  <si>
    <t>MM/dd/yyyy</t>
  </si>
  <si>
    <t>yyyyMMdd</t>
  </si>
  <si>
    <t>ComponentColumn.EditorFormat</t>
  </si>
  <si>
    <t>ComponentColumn.GridFormat</t>
  </si>
  <si>
    <t>Y</t>
  </si>
  <si>
    <t>Editor Format component column.</t>
  </si>
  <si>
    <t>Grid Format component column.</t>
  </si>
  <si>
    <t>#= kendo.toString(kendo.parseDate({FieldName}), 'yyyyMMdd')#</t>
  </si>
  <si>
    <t>FormatGrid.yyyyMMdd</t>
  </si>
  <si>
    <t>GetAllLookup</t>
  </si>
  <si>
    <t>Remark</t>
  </si>
  <si>
    <t>ComboBox</t>
  </si>
  <si>
    <t>{T}//*-------------------------------------------------------------------------*
{T}//*{T}{Item}LookupsController{TabsTo,79,{T}//*{T}{Item}LookupsController}*
{T}//*-------------------------------------------------------------------------*
{T}/// &lt;summary&gt;
{T}/// Web API 2 Controller for transient {LItem} lookup objects.
{T}/// &lt;/summary&gt;
{T}public class {Item}LookupsController : ApiController</t>
  </si>
  <si>
    <t>GetSingleLookup</t>
  </si>
  <si>
    <t xml:space="preserve">{T,2}private {Items}Controller mEntity = new {Items}Controller();
</t>
  </si>
  <si>
    <t xml:space="preserve">{T,2}//*-----------------------------------------------------------------------*
{T,2}//*{T}Lookup{TabsTo,79,{T,2}//*{T}Lookup}*
{T,2}//*-----------------------------------------------------------------------*
{T,2}/// &lt;summary&gt;
{T,2}/// Return the identifying information for a single {LItem} record.
{T,2}/// &lt;/summary&gt;
{T,2}/// &lt;remarks&gt;
{T,2}/// &lt;para&gt;
{T,2}/// Return the ID and default text of specified {LItem}.
{T,2}/// &lt;/para&gt;
{T,2}/// &lt;/remarks&gt;
{T,2}public IDTextItem Lookup(int id)
{T,2}{
{T,3}{Item}Item ci = m{Items}.First(r =&gt; r.{Item}ID == id);
{T,3}IDTextItem di = IDTextItem.Assign(ci, "{DefaultFieldName}", "{IDFieldName}");
{T,3}return di;
{T,2}}
{T,2}//*-----------------------------------------------------------------------*
</t>
  </si>
  <si>
    <t xml:space="preserve">{T,2}//*-----------------------------------------------------------------------*
{T,2}//*{T}Get{Item}Lookup{TabsTo,79,{T,2}//*{T}Get{Item}Lookup}*
{T,2}//*-----------------------------------------------------------------------*
{T,2}/// &lt;summary&gt;
{T,2}/// GET: api/{Item}Lookups/5
{T,2}/// &lt;/summary&gt;
{T,2}/// &lt;remarks&gt;
{T,2}/// &lt;para&gt;
{T,2}/// Return the ID and default text of the specified {LItem}.
{T,2}/// &lt;/para&gt;
{T,2}/// &lt;para&gt;
{T,2}/// Even with a single entry, it is important to return an array due to
{T,2}/// the fact that the Kendo UI DataSource will only bind to an array.
{T,2}/// &lt;/para&gt;
{T,2}/// &lt;/remarks&gt;
{T,2}[ResponseType(typeof(IDTextItem[]))]
{T,2}public IHttpActionResult Get{Item}Lookup(int id)
{T,2}{
{T,3}IDTextItem di = mEntity.Lookup(id);
{T,3}IHttpActionResult rv = null;
{T,3}if(di != null)
{T,3}{
{T,4}rv = Ok(di);
{T,3}}
{T,3}else
{T,3}{
{T,4}rv = NotFound();
{T,3}}
{T,3}return rv;
{T,2}}
{T,2}//*-----------------------------------------------------------------------*
</t>
  </si>
  <si>
    <t xml:space="preserve">{T,2}//*-----------------------------------------------------------------------*
{T,2}//*{T}Get{Item}Lookups{TabsTo,79,{T,2}//*{T}Get{Item}Lookups}*
{T,2}//*-----------------------------------------------------------------------*
{T,2}/// &lt;summary&gt;
{T,2}/// GET: api/{Item}Lookups
{T,2}/// &lt;/summary&gt;
{T,2}/// &lt;remarks&gt;
{T,2}/// Return all {LItem} lookups.
{T,2}/// &lt;/remarks&gt;
{T,2}public IQueryable&lt;IDTextItem&gt; Get{Item}Lookups()
{T,2}{
{T,3}return mEntity.Lookups().AsQueryable&lt;IDTextItem&gt;();
{T,2}}
{T,2}//*-----------------------------------------------------------------------*
</t>
  </si>
  <si>
    <t xml:space="preserve">{T,2}//*-----------------------------------------------------------------------*
{T,2}//*{T}Lookups{TabsTo,79,{T,2}//*{T}Lookups}*
{T,2}//*-----------------------------------------------------------------------*
{T,2}/// &lt;summary&gt;
{T,2}/// Return the collection of ID lookups for this entity.
{T,2}/// &lt;/summary&gt;
{T,2}/// &lt;remarks&gt;
{T,2}/// Return the default Field and default text value for all {LItems}.
{T,2}/// &lt;/remarks&gt;
{T,2}public IDTextCollection Lookups()
{T,2}{
{T,3}IDTextCollection rv = new IDTextCollection();
{T,3}if(m{Items}.Count() == 0)
{T,3}{
{T,4}m{Items}.Load();
{T,3}}
{T,3}rv.AddRange(m{Items}, "{IDFieldName}", "{DefaultFieldName}");
{T,3}return rv;
{T,2}}
{T,2}//*-----------------------------------------------------------------------*
</t>
  </si>
  <si>
    <t>UpdateBranch(this, Branches, BranchLookupData, "BranchID")</t>
  </si>
  <si>
    <t>UpdateCustomer(this, CustomerLookupData, Customers, "CustomerID")</t>
  </si>
  <si>
    <t>UpdateEmployee(this, Employees, EmployeeLookupData, "EmployeeID")</t>
  </si>
  <si>
    <t>F94259BE-92A2-4DFA-A1F9-1370A341F5F1</t>
  </si>
  <si>
    <t>NULL</t>
  </si>
  <si>
    <t>5E33AE21-BA5F-4974-BBC3-8A65CFBBEA25</t>
  </si>
  <si>
    <t>ECA74C94-3148-4DA3-8AC2-6A34982F290D</t>
  </si>
  <si>
    <t>0CED83D0-464C-4BDD-92ED-7ACB8E5155AD</t>
  </si>
  <si>
    <t>D3684C78-5B0E-4A22-A687-5D627B85677F</t>
  </si>
  <si>
    <t>CB98FCE0-BA25-454C-BEBC-3C7EE6733961</t>
  </si>
  <si>
    <t>54FDE9A0-D45D-4AB3-9B84-7BA92596E71B</t>
  </si>
  <si>
    <t>382E9559-3AFB-4BDC-99B9-049808578789</t>
  </si>
  <si>
    <t>North</t>
  </si>
  <si>
    <t>4026 Lauren Drive</t>
  </si>
  <si>
    <t>Madison</t>
  </si>
  <si>
    <t>WI</t>
  </si>
  <si>
    <t>4C13BB4E-4072-41B1-BE31-33DF7E806470</t>
  </si>
  <si>
    <t>South</t>
  </si>
  <si>
    <t>1250 Buffalo Creek Road</t>
  </si>
  <si>
    <t>Nashville</t>
  </si>
  <si>
    <t>TN</t>
  </si>
  <si>
    <t>2B0DD67D-0AF4-4932-8DF0-543E2F9369B4</t>
  </si>
  <si>
    <t>East</t>
  </si>
  <si>
    <t>1104 Jacobs Street</t>
  </si>
  <si>
    <t>Pittsburgh</t>
  </si>
  <si>
    <t>PA</t>
  </si>
  <si>
    <t>4BEEE4EE-28D7-494E-8331-9B43313D1C08</t>
  </si>
  <si>
    <t>West</t>
  </si>
  <si>
    <t>3339 Ridenour Street</t>
  </si>
  <si>
    <t>Doral</t>
  </si>
  <si>
    <t>FL</t>
  </si>
  <si>
    <t>6B28522A-D002-4D28-A307-9DBBA5CD6286</t>
  </si>
  <si>
    <t>Consolidated Messenger</t>
  </si>
  <si>
    <t>4786 Locust Court</t>
  </si>
  <si>
    <t>Fresno</t>
  </si>
  <si>
    <t>CA</t>
  </si>
  <si>
    <t>33-6566647</t>
  </si>
  <si>
    <t>92FDBA50-E929-46C1-A019-8CFFE9FAE7D6</t>
  </si>
  <si>
    <t>Alpine Ski House</t>
  </si>
  <si>
    <t>523 Redbud Drive</t>
  </si>
  <si>
    <t>New York</t>
  </si>
  <si>
    <t>NY</t>
  </si>
  <si>
    <t>90-3818787</t>
  </si>
  <si>
    <t>FEEED429-AB29-41C6-B71A-5D93C4910061</t>
  </si>
  <si>
    <t>Southridge Video</t>
  </si>
  <si>
    <t>2205 Cooks Mine Road</t>
  </si>
  <si>
    <t>Albuquerque</t>
  </si>
  <si>
    <t>NM</t>
  </si>
  <si>
    <t>06-1886298</t>
  </si>
  <si>
    <t>9D0F2962-F1EC-4409-85D7-DA79D2FD503C</t>
  </si>
  <si>
    <t>City Power &amp; Light</t>
  </si>
  <si>
    <t>2502 Oak Avenue</t>
  </si>
  <si>
    <t>Schaumburg</t>
  </si>
  <si>
    <t>IL</t>
  </si>
  <si>
    <t>19-7270587</t>
  </si>
  <si>
    <t>2806379A-6145-4357-B7AC-EA208BE25581</t>
  </si>
  <si>
    <t>Coho Winery</t>
  </si>
  <si>
    <t>112 West Street</t>
  </si>
  <si>
    <t>Casnovia</t>
  </si>
  <si>
    <t>MI</t>
  </si>
  <si>
    <t>79-9418423</t>
  </si>
  <si>
    <t>E785DAAC-9C3A-4419-9A81-898108B9253B</t>
  </si>
  <si>
    <t>Wide World Importers</t>
  </si>
  <si>
    <t>3148 Passaic Street</t>
  </si>
  <si>
    <t>Reston</t>
  </si>
  <si>
    <t>DC</t>
  </si>
  <si>
    <t>56-2467496</t>
  </si>
  <si>
    <t>65CDCEC2-368A-4B29-A156-0E0BB8FEA7FF</t>
  </si>
  <si>
    <t>Graphic Design Institute</t>
  </si>
  <si>
    <t>193 Poling Farm Road</t>
  </si>
  <si>
    <t>Randolph</t>
  </si>
  <si>
    <t>NE</t>
  </si>
  <si>
    <t>56-6751685</t>
  </si>
  <si>
    <t>ED3F3567-85A9-416B-909E-B25955D77E2A</t>
  </si>
  <si>
    <t>Adventure Works</t>
  </si>
  <si>
    <t>211 Farland Avenue</t>
  </si>
  <si>
    <t>Uvalde</t>
  </si>
  <si>
    <t>TX</t>
  </si>
  <si>
    <t>39-1309162</t>
  </si>
  <si>
    <t>924C9BAD-F3C9-445C-BDEC-C3BF20F15245</t>
  </si>
  <si>
    <t>Humongous Insurance</t>
  </si>
  <si>
    <t>1717 Edgewood Avenue</t>
  </si>
  <si>
    <t>40-8819895</t>
  </si>
  <si>
    <t>19E7E150-8B2A-408D-B0B5-5BAA43FD7A09</t>
  </si>
  <si>
    <t>Woodgrove Bank</t>
  </si>
  <si>
    <t>2110 Maple Street</t>
  </si>
  <si>
    <t>Irvine</t>
  </si>
  <si>
    <t>92-4691264</t>
  </si>
  <si>
    <t>04CEBA25-4680-40BD-83BE-9C68217A0E87</t>
  </si>
  <si>
    <t>Margie's Travel</t>
  </si>
  <si>
    <t>3379 College Street</t>
  </si>
  <si>
    <t>Decatur</t>
  </si>
  <si>
    <t>GA</t>
  </si>
  <si>
    <t>18-9269063</t>
  </si>
  <si>
    <t>9EFCA023-0BA6-404D-88D9-01061C419656</t>
  </si>
  <si>
    <t>Northwind Traders</t>
  </si>
  <si>
    <t>3850 Elk City Road</t>
  </si>
  <si>
    <t>Indianapolis</t>
  </si>
  <si>
    <t>IN</t>
  </si>
  <si>
    <t>87-4224500</t>
  </si>
  <si>
    <t>200DC2FD-0297-4D59-A429-5044505B4D2E</t>
  </si>
  <si>
    <t>Blue Yonder Airlines</t>
  </si>
  <si>
    <t>33 Trouser Leg Road</t>
  </si>
  <si>
    <t>Shelburne</t>
  </si>
  <si>
    <t>MA</t>
  </si>
  <si>
    <t>32-3149379</t>
  </si>
  <si>
    <t>E802AAFF-458A-4346-8E80-8FC25714476C</t>
  </si>
  <si>
    <t>Trey Research</t>
  </si>
  <si>
    <t>707 Bruce Street</t>
  </si>
  <si>
    <t>St. Louis</t>
  </si>
  <si>
    <t>MO</t>
  </si>
  <si>
    <t>53-9702721</t>
  </si>
  <si>
    <t>0DC2939F-551A-4E65-A008-C2A423E39C39</t>
  </si>
  <si>
    <t>The Phone Company</t>
  </si>
  <si>
    <t>1805 Tori Lane</t>
  </si>
  <si>
    <t>Midvale</t>
  </si>
  <si>
    <t>UT</t>
  </si>
  <si>
    <t>29-7989701</t>
  </si>
  <si>
    <t>B5BB0382-32F2-4339-B8F3-3C29EC55568A</t>
  </si>
  <si>
    <t>Wingtip Toys</t>
  </si>
  <si>
    <t>3280 Biddie Lane</t>
  </si>
  <si>
    <t>Hopewell</t>
  </si>
  <si>
    <t>VA</t>
  </si>
  <si>
    <t>41-3534687</t>
  </si>
  <si>
    <t>AEF13C51-8C70-4A30-B1B3-3E5BDA400E99</t>
  </si>
  <si>
    <t>Lucerne Publishing</t>
  </si>
  <si>
    <t>1336 Stoney Lonesome Road</t>
  </si>
  <si>
    <t>Scranton</t>
  </si>
  <si>
    <t>94-4071874</t>
  </si>
  <si>
    <t>052B2DE5-A02B-4DD4-969A-7D16F68AB290</t>
  </si>
  <si>
    <t>Fourth Coffee</t>
  </si>
  <si>
    <t>3288 Finwood Road</t>
  </si>
  <si>
    <t>NJ</t>
  </si>
  <si>
    <t>27-2130193</t>
  </si>
  <si>
    <t>0760656E-5790-4615-AE50-3032236AAC1D</t>
  </si>
  <si>
    <t>Eva</t>
  </si>
  <si>
    <t>Kilpatrick</t>
  </si>
  <si>
    <t>Teller</t>
  </si>
  <si>
    <t>115-98-6023</t>
  </si>
  <si>
    <t>81B4F116-1080-4E0C-96B5-C2EA781B21C7</t>
  </si>
  <si>
    <t>Joyce</t>
  </si>
  <si>
    <t>Kearney</t>
  </si>
  <si>
    <t>937-46-1306</t>
  </si>
  <si>
    <t>907826F3-1ED0-4565-AB95-13CA3C8A36C7</t>
  </si>
  <si>
    <t>Paula</t>
  </si>
  <si>
    <t>Fuller</t>
  </si>
  <si>
    <t>New Accounts</t>
  </si>
  <si>
    <t>281-76-4390</t>
  </si>
  <si>
    <t>C9853CE7-5546-4940-8BE0-96589595C70C</t>
  </si>
  <si>
    <t>Frank</t>
  </si>
  <si>
    <t>Wozniak</t>
  </si>
  <si>
    <t>925-37-2799</t>
  </si>
  <si>
    <t>FE833889-725F-4693-BC9B-B2AB2B86B522</t>
  </si>
  <si>
    <t>Donald</t>
  </si>
  <si>
    <t>Crawley</t>
  </si>
  <si>
    <t>Operations Supervisor</t>
  </si>
  <si>
    <t>777-11-9237</t>
  </si>
  <si>
    <t>ServiceChargeManagerID</t>
  </si>
  <si>
    <t>ServiceChargeManagerTicket</t>
  </si>
  <si>
    <t>ServiceChargeExpression</t>
  </si>
  <si>
    <t>CE873E13-B05C-4324-879E-8C99153F9DA6</t>
  </si>
  <si>
    <t>({v1}*0.27)-({v2}*0.027)</t>
  </si>
  <si>
    <t>76EBFE98-A024-49EB-BDE6-C3D8F344B621</t>
  </si>
  <si>
    <t>({v1}*0.03)-({v2}*0.003)</t>
  </si>
  <si>
    <t>C8EB4087-89A3-4A27-B0E1-11B2A5F6D476</t>
  </si>
  <si>
    <t>({v1}*0.88)-({v2}*0.088)</t>
  </si>
  <si>
    <t>27306C87-232F-469A-B100-69A4A8A1EF5A</t>
  </si>
  <si>
    <t>({v1}*0.53)-({v2}*0.053)</t>
  </si>
  <si>
    <t>2B05B659-C17F-45B6-B359-1C2AF17A8A96</t>
  </si>
  <si>
    <t>({v1}*0.56)-({v2}*0.056)</t>
  </si>
  <si>
    <t>9C921975-A25A-4723-9FF6-30EE6CA84489</t>
  </si>
  <si>
    <t>({v1}*0.45)-({v2}*0.045)</t>
  </si>
  <si>
    <t>5B8A5D85-9448-478C-AA3B-55068CE5A06C</t>
  </si>
  <si>
    <t>({v1}*0.63)-({v2}*0.063)</t>
  </si>
  <si>
    <t>ED23C380-A8E4-4230-A32E-A0AEA8788735</t>
  </si>
  <si>
    <t>7E6106DD-7237-4332-BACC-E53B24FFDF54</t>
  </si>
  <si>
    <t>({v1}*0.47)-({v2}*0.047)</t>
  </si>
  <si>
    <t>41D92C19-87CD-4AB7-85E7-4D1E56A405BD</t>
  </si>
  <si>
    <t>({v1}*0.00)-({v2}*0.097)</t>
  </si>
  <si>
    <t>DB0F8298-68D5-4E60-8CAB-EA698A1FE16E</t>
  </si>
  <si>
    <t>({v1}*0.75)-({v2}*0.075)</t>
  </si>
  <si>
    <t>90A42D1C-D81C-462B-A089-2A58AE5E1EDA</t>
  </si>
  <si>
    <t>({v1}*0.76)-({v2}*0.076)</t>
  </si>
  <si>
    <t>TransactionID</t>
  </si>
  <si>
    <t>TransactionTicket</t>
  </si>
  <si>
    <t>TransactionTypeEnum</t>
  </si>
  <si>
    <t>Amount</t>
  </si>
  <si>
    <t>DateTransaction</t>
  </si>
  <si>
    <t>DateFundsAvailable</t>
  </si>
  <si>
    <t>RemoteInstitution</t>
  </si>
  <si>
    <t>RemoteAccount</t>
  </si>
  <si>
    <t>3FB83D82-3F04-4A94-813F-50B207A29034</t>
  </si>
  <si>
    <t>Bank of the Best</t>
  </si>
  <si>
    <t>2B157DDC-0153-4162-904B-0F6F9CC0EB98</t>
  </si>
  <si>
    <t>Legion Bank</t>
  </si>
  <si>
    <t>0C356039-EE05-4BD7-A828-FEF9D8DC1A3F</t>
  </si>
  <si>
    <t>Omni Bank</t>
  </si>
  <si>
    <t>B9EBD756-1F02-4ABD-8C93-275F8D4A5D3A</t>
  </si>
  <si>
    <t>Roadhouse Bank</t>
  </si>
  <si>
    <t>03872633-6727-4D60-9F2B-00359AF48229</t>
  </si>
  <si>
    <t>Red Baron State Bank</t>
  </si>
  <si>
    <t>TransactionTypeID</t>
  </si>
  <si>
    <t>TransactionTypeTicket</t>
  </si>
  <si>
    <t>TransactionTypeSortIndex</t>
  </si>
  <si>
    <t>TransactionTypeName</t>
  </si>
  <si>
    <t>TransactionTypeDescription</t>
  </si>
  <si>
    <t>F8DC94D7-DC76-4908-84AA-1DCDE01CFEB8</t>
  </si>
  <si>
    <t>None</t>
  </si>
  <si>
    <t>Unknown or no type defined.</t>
  </si>
  <si>
    <t>5078F3B7-F0DB-4F83-AE13-44C468DB2F7D</t>
  </si>
  <si>
    <t>Cash</t>
  </si>
  <si>
    <t>Cash Deposit or Withdrawal.</t>
  </si>
  <si>
    <t>D3BE1BA3-D265-412D-95DE-8FA874BC8709</t>
  </si>
  <si>
    <t>CheckOut</t>
  </si>
  <si>
    <t>Check ONUS.</t>
  </si>
  <si>
    <t>2C253A85-B9AA-4442-B7A1-7512F71FA50D</t>
  </si>
  <si>
    <t>CheckIn</t>
  </si>
  <si>
    <t>Check Deposited on other institution.</t>
  </si>
  <si>
    <t>Data / SQL Server 2017</t>
  </si>
  <si>
    <t>Web / CSS3</t>
  </si>
  <si>
    <t>&lt;!doctype html&gt;</t>
  </si>
  <si>
    <t>&lt;!--
	Copyright (c) 2019. Daniel Patterson (danielanywhere)
	Released for public access under the MIT License.
	http://www.opensource.org/licenses/mit-license.php
--&gt;</t>
  </si>
  <si>
    <t>&lt;!--
	In this MVVM version, the view model layers are implicit.
	- All HTML is declarative, and defines the VIEW.
	- All JavaScript logic composes the VIEW MODEL.
	- All JSON tables constitute the MODEL.
	This file demonstrates a customized version of jsGrid.js that has several
	improvements by Daniel Patterson.
	This file demonstrates that the implementation of jsGrid is much smaller and
	easier to implement than an equal usage of Telerik Kendo grid.
	The original version of jsGrid can be found at:
 https://github.com/tabalinas/jsgrid
--&gt;</t>
  </si>
  <si>
    <t>&lt;title&gt;BankCore featuring jQuery, jsGrid, ASP.NET, and REST&lt;/title&gt;</t>
  </si>
  <si>
    <t>&lt;meta charset="utf-8" /&gt;</t>
  </si>
  <si>
    <t>&lt;link rel="stylesheet" type="text/css" href="Default.css" /&gt;</t>
  </si>
  <si>
    <t>&lt;link rel="stylesheet" type="text/css" href="scripts/jsgridmod/jsgrid.css" /&gt;</t>
  </si>
  <si>
    <t>&lt;link rel="stylesheet" type="text/css" href="scripts/jsgridmod/jsgrid-theme.css" /&gt;</t>
  </si>
  <si>
    <t>&lt;link rel="stylesheet" type="text/css" href="scripts/jquery-ui-1.12.1.d1/jquery-ui.css" /&gt;</t>
  </si>
  <si>
    <t>&lt;script src="scripts/jquery-3.3.1.js"&gt;&lt;/script&gt;</t>
  </si>
  <si>
    <t>&lt;script src="scripts/jquery-ui-1.12.1.d1/jquery-ui.js"&gt;&lt;/script&gt;</t>
  </si>
  <si>
    <t>&lt;script src="scripts/jquery.validate.1.9.min.js"&gt;&lt;/script&gt;</t>
  </si>
  <si>
    <t>&lt;script src="scripts/jsgridmod/jsgrid.js"&gt;&lt;/script&gt;</t>
  </si>
  <si>
    <t>&lt;script src="scripts/IndexViewModel.js"&gt;&lt;/script&gt;</t>
  </si>
  <si>
    <t>&lt;div id="tabs"&gt;</t>
  </si>
  <si>
    <t>tabs</t>
  </si>
  <si>
    <t>&lt;!-- Tab Control --&gt;</t>
  </si>
  <si>
    <t>&lt;li&gt;&lt;a href="#{Items}"&gt;&lt;span&gt;{Items}&lt;/span&gt;&lt;/a&gt;&lt;/li&gt;</t>
  </si>
  <si>
    <t>/tabstrip</t>
  </si>
  <si>
    <t>&lt;!-- /Tab Control --&gt;</t>
  </si>
  <si>
    <t>&lt;!-- {Items} Panel. --&gt;</t>
  </si>
  <si>
    <t>&lt;!-- /{Items} Panel. --&gt;</t>
  </si>
  <si>
    <t>&lt;div id="{Items}"&gt;</t>
  </si>
  <si>
    <t>&lt;p class="top0"&gt;Select {AAn} {LItem} to edit or view.&lt;/p&gt;</t>
  </si>
  <si>
    <t>&lt;div id="grd{Items}" class="jsGrid"&gt;&lt;/div&gt;</t>
  </si>
  <si>
    <t>&lt;!-- {Item} Filtering --&gt;</t>
  </si>
  <si>
    <t>&lt;div class="tabAccordian"&gt;</t>
  </si>
  <si>
    <t>&lt;h3&gt;Row Filter Settings&lt;/h3&gt;</t>
  </si>
  <si>
    <t>&lt;div id="filt{Items}" class="rowFilter"&gt;</t>
  </si>
  <si>
    <t>&lt;div class="head"&gt;Row Filtering&lt;/div&gt;</t>
  </si>
  <si>
    <t>&lt;p class="small"&gt;Enter all or part of a value to look for in each desired column.&lt;/p&gt;</t>
  </si>
  <si>
    <t>&lt;label class="container"&gt;{FieldDisplayName}:</t>
  </si>
  <si>
    <t>Account ID</t>
  </si>
  <si>
    <t>Account Ticket</t>
  </si>
  <si>
    <t>Customer Ticket</t>
  </si>
  <si>
    <t>ComponentColumn.Abbrev3</t>
  </si>
  <si>
    <t>Z</t>
  </si>
  <si>
    <t>Three letter abbreviation to use for constant name lengths.</t>
  </si>
  <si>
    <t>Abbrev3</t>
  </si>
  <si>
    <t>act</t>
  </si>
  <si>
    <t>brc</t>
  </si>
  <si>
    <t>cst</t>
  </si>
  <si>
    <t>emp</t>
  </si>
  <si>
    <t>&lt;input type="text" id="txtfilt{LAbbrev3}{FieldName}"&gt;</t>
  </si>
  <si>
    <t>&lt;/label&gt;</t>
  </si>
  <si>
    <t>&lt;input type="button" id="btnfilt{LAbbrev3}Apply" value="Apply Filter"&gt;</t>
  </si>
  <si>
    <t>&lt;input type="button" id="btnfilt{LAbbrev3}Clear" value="Clear Values"&gt;</t>
  </si>
  <si>
    <t>&lt;/div&gt;</t>
  </si>
  <si>
    <t>&lt;label class="container"&gt;{FieldDisplayName} (Min):</t>
  </si>
  <si>
    <t>&lt;input type="text" id="txtfilt{LAbbrev3}{FieldName}.Min"&gt;</t>
  </si>
  <si>
    <t>&lt;label class="container"&gt;{FieldDisplayName} (Max):</t>
  </si>
  <si>
    <t>&lt;input type="text" id="txtfilt{LAbbrev3}{FieldName}.Max"&gt;</t>
  </si>
  <si>
    <t>Condition(FieldDataType,[Guid,string])</t>
  </si>
  <si>
    <t>Condition(FieldDataType,[DateTime,decimal,int])</t>
  </si>
  <si>
    <t>&lt;!-- /{Item} Filtering --&gt;</t>
  </si>
  <si>
    <t>&lt;!-- {Item} Column Visibility --&gt;</t>
  </si>
  <si>
    <t>&lt;!-- /{Item} Column Visibility --&gt;</t>
  </si>
  <si>
    <t>&lt;h3&gt;Column Settings&lt;/h3&gt;</t>
  </si>
  <si>
    <t>&lt;div id="colctl{Items}" class="columnVisibility"&gt;</t>
  </si>
  <si>
    <t>&lt;div class="head"&gt;Column Visibility&lt;/div&gt;</t>
  </si>
  <si>
    <t>&lt;label class="container"&gt;{FieldDisplayName}
&lt;input type="checkbox" checked="checked"
id="chkcolctl{LAbbrev3}{FieldName}"&gt;
&lt;span class="checkmark"&gt;&lt;/span&gt;
&lt;/label&gt;</t>
  </si>
  <si>
    <t xml:space="preserve">&lt;/body&gt;
</t>
  </si>
  <si>
    <t>&lt;/html&gt;</t>
  </si>
  <si>
    <t>LoopStart(component,b)</t>
  </si>
  <si>
    <t>Loop(component,a)</t>
  </si>
  <si>
    <t>LoopStart(entry,c)</t>
  </si>
  <si>
    <t>LoopEnd(c)</t>
  </si>
  <si>
    <t>Loop(entry,d)</t>
  </si>
  <si>
    <t>LoopEnd(b)</t>
  </si>
  <si>
    <t>Grid Format</t>
  </si>
  <si>
    <t>Edit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</si>
</sst>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vertical="top"/>
    </xf>
    <xf numFmtId="0" fontId="0" fillId="0" borderId="0" xfId="0" applyAlignment="1">
      <alignment vertical="top" wrapText="1"/>
    </xf>
    <xf numFmtId="22" fontId="0" fillId="0" borderId="0" xfId="0" applyNumberFormat="1"/>
    <xf numFmtId="11"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266E-8E54-4777-B7BF-9D3CD7151376}">
  <sheetPr codeName="Sheet2"/>
  <dimension ref="A1:C60"/>
  <sheetViews>
    <sheetView workbookViewId="0">
      <pane ySplit="1" topLeftCell="A27" activePane="bottomLeft" state="frozen"/>
      <selection pane="bottomLeft" activeCell="A15" sqref="A15"/>
    </sheetView>
  </sheetViews>
  <sheetFormatPr defaultRowHeight="14.4" x14ac:dyDescent="0.3"/>
  <cols>
    <col min="1" max="1" width="31.33203125" bestFit="1" customWidth="1"/>
    <col min="2" max="2" width="15.88671875" customWidth="1"/>
  </cols>
  <sheetData>
    <row r="1" spans="1:3" x14ac:dyDescent="0.3">
      <c r="A1" t="s">
        <v>0</v>
      </c>
      <c r="B1" t="s">
        <v>3</v>
      </c>
      <c r="C1" t="s">
        <v>300</v>
      </c>
    </row>
    <row r="2" spans="1:3" x14ac:dyDescent="0.3">
      <c r="A2" t="s">
        <v>337</v>
      </c>
      <c r="B2" t="s">
        <v>366</v>
      </c>
      <c r="C2" t="s">
        <v>336</v>
      </c>
    </row>
    <row r="3" spans="1:3" x14ac:dyDescent="0.3">
      <c r="A3" t="s">
        <v>649</v>
      </c>
      <c r="B3" t="s">
        <v>379</v>
      </c>
      <c r="C3" t="s">
        <v>651</v>
      </c>
    </row>
    <row r="4" spans="1:3" x14ac:dyDescent="0.3">
      <c r="A4" t="s">
        <v>258</v>
      </c>
      <c r="B4" t="s">
        <v>281</v>
      </c>
      <c r="C4" t="s">
        <v>338</v>
      </c>
    </row>
    <row r="5" spans="1:3" x14ac:dyDescent="0.3">
      <c r="A5" t="s">
        <v>252</v>
      </c>
      <c r="B5" t="s">
        <v>276</v>
      </c>
      <c r="C5" t="s">
        <v>339</v>
      </c>
    </row>
    <row r="6" spans="1:3" x14ac:dyDescent="0.3">
      <c r="A6" t="s">
        <v>253</v>
      </c>
      <c r="B6" t="s">
        <v>277</v>
      </c>
      <c r="C6" t="s">
        <v>340</v>
      </c>
    </row>
    <row r="7" spans="1:3" x14ac:dyDescent="0.3">
      <c r="A7" t="s">
        <v>298</v>
      </c>
      <c r="B7" t="s">
        <v>650</v>
      </c>
      <c r="C7" t="s">
        <v>346</v>
      </c>
    </row>
    <row r="8" spans="1:3" x14ac:dyDescent="0.3">
      <c r="A8" t="s">
        <v>262</v>
      </c>
      <c r="B8" t="s">
        <v>274</v>
      </c>
      <c r="C8" t="s">
        <v>347</v>
      </c>
    </row>
    <row r="9" spans="1:3" x14ac:dyDescent="0.3">
      <c r="A9" t="s">
        <v>264</v>
      </c>
      <c r="B9" t="s">
        <v>272</v>
      </c>
      <c r="C9" t="s">
        <v>348</v>
      </c>
    </row>
    <row r="10" spans="1:3" x14ac:dyDescent="0.3">
      <c r="A10" t="s">
        <v>377</v>
      </c>
      <c r="B10" t="s">
        <v>287</v>
      </c>
      <c r="C10" t="s">
        <v>380</v>
      </c>
    </row>
    <row r="11" spans="1:3" x14ac:dyDescent="0.3">
      <c r="A11" t="s">
        <v>263</v>
      </c>
      <c r="B11" t="s">
        <v>285</v>
      </c>
      <c r="C11" t="s">
        <v>349</v>
      </c>
    </row>
    <row r="12" spans="1:3" x14ac:dyDescent="0.3">
      <c r="A12" t="s">
        <v>378</v>
      </c>
      <c r="B12" t="s">
        <v>286</v>
      </c>
      <c r="C12" t="s">
        <v>381</v>
      </c>
    </row>
    <row r="13" spans="1:3" x14ac:dyDescent="0.3">
      <c r="A13" t="s">
        <v>254</v>
      </c>
      <c r="B13" t="s">
        <v>278</v>
      </c>
      <c r="C13" t="s">
        <v>341</v>
      </c>
    </row>
    <row r="14" spans="1:3" x14ac:dyDescent="0.3">
      <c r="A14" t="s">
        <v>334</v>
      </c>
      <c r="B14" t="s">
        <v>297</v>
      </c>
      <c r="C14" t="s">
        <v>342</v>
      </c>
    </row>
    <row r="15" spans="1:3" x14ac:dyDescent="0.3">
      <c r="A15" t="s">
        <v>259</v>
      </c>
      <c r="B15" t="s">
        <v>282</v>
      </c>
      <c r="C15" t="s">
        <v>343</v>
      </c>
    </row>
    <row r="16" spans="1:3" x14ac:dyDescent="0.3">
      <c r="A16" t="s">
        <v>260</v>
      </c>
      <c r="B16" t="s">
        <v>283</v>
      </c>
      <c r="C16" t="s">
        <v>344</v>
      </c>
    </row>
    <row r="17" spans="1:3" x14ac:dyDescent="0.3">
      <c r="A17" t="s">
        <v>296</v>
      </c>
      <c r="B17" t="s">
        <v>299</v>
      </c>
      <c r="C17" t="s">
        <v>350</v>
      </c>
    </row>
    <row r="18" spans="1:3" x14ac:dyDescent="0.3">
      <c r="A18" t="s">
        <v>251</v>
      </c>
      <c r="B18" t="s">
        <v>271</v>
      </c>
      <c r="C18" t="s">
        <v>351</v>
      </c>
    </row>
    <row r="19" spans="1:3" x14ac:dyDescent="0.3">
      <c r="A19" t="s">
        <v>261</v>
      </c>
      <c r="B19" t="s">
        <v>284</v>
      </c>
      <c r="C19" t="s">
        <v>352</v>
      </c>
    </row>
    <row r="20" spans="1:3" x14ac:dyDescent="0.3">
      <c r="A20" t="s">
        <v>265</v>
      </c>
      <c r="B20" t="s">
        <v>288</v>
      </c>
      <c r="C20" t="s">
        <v>345</v>
      </c>
    </row>
    <row r="21" spans="1:3" x14ac:dyDescent="0.3">
      <c r="A21" t="s">
        <v>257</v>
      </c>
      <c r="B21" t="s">
        <v>280</v>
      </c>
      <c r="C21" t="s">
        <v>353</v>
      </c>
    </row>
    <row r="22" spans="1:3" x14ac:dyDescent="0.3">
      <c r="A22" t="s">
        <v>255</v>
      </c>
      <c r="B22" t="s">
        <v>273</v>
      </c>
      <c r="C22" t="s">
        <v>354</v>
      </c>
    </row>
    <row r="23" spans="1:3" x14ac:dyDescent="0.3">
      <c r="A23" t="s">
        <v>256</v>
      </c>
      <c r="B23" t="s">
        <v>279</v>
      </c>
      <c r="C23" t="s">
        <v>355</v>
      </c>
    </row>
    <row r="24" spans="1:3" x14ac:dyDescent="0.3">
      <c r="A24" t="s">
        <v>269</v>
      </c>
      <c r="B24" t="s">
        <v>292</v>
      </c>
      <c r="C24" t="s">
        <v>356</v>
      </c>
    </row>
    <row r="25" spans="1:3" x14ac:dyDescent="0.3">
      <c r="A25" t="s">
        <v>267</v>
      </c>
      <c r="B25" t="s">
        <v>290</v>
      </c>
      <c r="C25" t="s">
        <v>357</v>
      </c>
    </row>
    <row r="26" spans="1:3" x14ac:dyDescent="0.3">
      <c r="A26" t="s">
        <v>266</v>
      </c>
      <c r="B26" t="s">
        <v>289</v>
      </c>
      <c r="C26" t="s">
        <v>358</v>
      </c>
    </row>
    <row r="27" spans="1:3" x14ac:dyDescent="0.3">
      <c r="A27" t="s">
        <v>270</v>
      </c>
      <c r="B27" t="s">
        <v>275</v>
      </c>
      <c r="C27" t="s">
        <v>359</v>
      </c>
    </row>
    <row r="28" spans="1:3" x14ac:dyDescent="0.3">
      <c r="A28" t="s">
        <v>268</v>
      </c>
      <c r="B28" t="s">
        <v>291</v>
      </c>
      <c r="C28" t="s">
        <v>360</v>
      </c>
    </row>
    <row r="29" spans="1:3" x14ac:dyDescent="0.3">
      <c r="A29" t="s">
        <v>293</v>
      </c>
      <c r="B29">
        <v>2</v>
      </c>
      <c r="C29" t="s">
        <v>361</v>
      </c>
    </row>
    <row r="30" spans="1:3" x14ac:dyDescent="0.3">
      <c r="A30" t="s">
        <v>240</v>
      </c>
      <c r="B30" t="s">
        <v>182</v>
      </c>
      <c r="C30" t="s">
        <v>362</v>
      </c>
    </row>
    <row r="31" spans="1:3" x14ac:dyDescent="0.3">
      <c r="A31" t="s">
        <v>294</v>
      </c>
      <c r="B31" t="s">
        <v>245</v>
      </c>
      <c r="C31" t="s">
        <v>363</v>
      </c>
    </row>
    <row r="32" spans="1:3" x14ac:dyDescent="0.3">
      <c r="A32" t="s">
        <v>49</v>
      </c>
      <c r="B32" t="s">
        <v>59</v>
      </c>
    </row>
    <row r="33" spans="1:2" x14ac:dyDescent="0.3">
      <c r="A33" t="s">
        <v>49</v>
      </c>
      <c r="B33" t="s">
        <v>612</v>
      </c>
    </row>
    <row r="34" spans="1:2" x14ac:dyDescent="0.3">
      <c r="A34" t="s">
        <v>49</v>
      </c>
      <c r="B34" t="s">
        <v>58</v>
      </c>
    </row>
    <row r="35" spans="1:2" x14ac:dyDescent="0.3">
      <c r="A35" t="s">
        <v>49</v>
      </c>
      <c r="B35" t="s">
        <v>55</v>
      </c>
    </row>
    <row r="36" spans="1:2" x14ac:dyDescent="0.3">
      <c r="A36" t="s">
        <v>49</v>
      </c>
      <c r="B36" t="s">
        <v>45</v>
      </c>
    </row>
    <row r="37" spans="1:2" x14ac:dyDescent="0.3">
      <c r="A37" t="s">
        <v>49</v>
      </c>
      <c r="B37" t="s">
        <v>56</v>
      </c>
    </row>
    <row r="38" spans="1:2" x14ac:dyDescent="0.3">
      <c r="A38" t="s">
        <v>49</v>
      </c>
      <c r="B38" t="s">
        <v>48</v>
      </c>
    </row>
    <row r="39" spans="1:2" x14ac:dyDescent="0.3">
      <c r="A39" t="s">
        <v>49</v>
      </c>
      <c r="B39" t="s">
        <v>52</v>
      </c>
    </row>
    <row r="40" spans="1:2" x14ac:dyDescent="0.3">
      <c r="A40" t="s">
        <v>49</v>
      </c>
      <c r="B40" t="s">
        <v>57</v>
      </c>
    </row>
    <row r="41" spans="1:2" x14ac:dyDescent="0.3">
      <c r="A41" t="s">
        <v>49</v>
      </c>
      <c r="B41" t="s">
        <v>242</v>
      </c>
    </row>
    <row r="42" spans="1:2" x14ac:dyDescent="0.3">
      <c r="A42" t="s">
        <v>49</v>
      </c>
      <c r="B42" t="s">
        <v>51</v>
      </c>
    </row>
    <row r="43" spans="1:2" x14ac:dyDescent="0.3">
      <c r="A43" t="s">
        <v>49</v>
      </c>
      <c r="B43" t="s">
        <v>50</v>
      </c>
    </row>
    <row r="44" spans="1:2" x14ac:dyDescent="0.3">
      <c r="A44" t="s">
        <v>49</v>
      </c>
      <c r="B44" t="s">
        <v>53</v>
      </c>
    </row>
    <row r="45" spans="1:2" x14ac:dyDescent="0.3">
      <c r="A45" t="s">
        <v>49</v>
      </c>
      <c r="B45" t="s">
        <v>54</v>
      </c>
    </row>
    <row r="46" spans="1:2" x14ac:dyDescent="0.3">
      <c r="A46" t="s">
        <v>49</v>
      </c>
      <c r="B46" t="s">
        <v>613</v>
      </c>
    </row>
    <row r="47" spans="1:2" x14ac:dyDescent="0.3">
      <c r="A47" t="s">
        <v>49</v>
      </c>
      <c r="B47" t="s">
        <v>46</v>
      </c>
    </row>
    <row r="48" spans="1:2" x14ac:dyDescent="0.3">
      <c r="A48" t="s">
        <v>49</v>
      </c>
      <c r="B48" t="s">
        <v>47</v>
      </c>
    </row>
    <row r="49" spans="1:3" x14ac:dyDescent="0.3">
      <c r="A49" t="s">
        <v>137</v>
      </c>
      <c r="B49" t="s">
        <v>138</v>
      </c>
      <c r="C49" t="s">
        <v>364</v>
      </c>
    </row>
    <row r="50" spans="1:3" x14ac:dyDescent="0.3">
      <c r="A50" t="s">
        <v>137</v>
      </c>
      <c r="B50" t="s">
        <v>139</v>
      </c>
      <c r="C50" t="s">
        <v>364</v>
      </c>
    </row>
    <row r="51" spans="1:3" x14ac:dyDescent="0.3">
      <c r="A51" t="s">
        <v>243</v>
      </c>
      <c r="B51" t="s">
        <v>244</v>
      </c>
      <c r="C51" t="s">
        <v>365</v>
      </c>
    </row>
    <row r="52" spans="1:3" x14ac:dyDescent="0.3">
      <c r="A52" t="s">
        <v>246</v>
      </c>
      <c r="B52" t="s">
        <v>245</v>
      </c>
      <c r="C52" t="s">
        <v>365</v>
      </c>
    </row>
    <row r="53" spans="1:3" x14ac:dyDescent="0.3">
      <c r="A53" t="s">
        <v>249</v>
      </c>
      <c r="B53" t="s">
        <v>250</v>
      </c>
      <c r="C53" t="s">
        <v>365</v>
      </c>
    </row>
    <row r="54" spans="1:3" x14ac:dyDescent="0.3">
      <c r="A54" t="s">
        <v>247</v>
      </c>
      <c r="B54" t="s">
        <v>248</v>
      </c>
      <c r="C54" t="s">
        <v>365</v>
      </c>
    </row>
    <row r="55" spans="1:3" x14ac:dyDescent="0.3">
      <c r="A55" t="s">
        <v>367</v>
      </c>
      <c r="B55" t="s">
        <v>271</v>
      </c>
    </row>
    <row r="56" spans="1:3" x14ac:dyDescent="0.3">
      <c r="A56" t="s">
        <v>371</v>
      </c>
      <c r="B56" t="s">
        <v>276</v>
      </c>
    </row>
    <row r="57" spans="1:3" x14ac:dyDescent="0.3">
      <c r="A57" t="s">
        <v>368</v>
      </c>
      <c r="B57" t="s">
        <v>277</v>
      </c>
    </row>
    <row r="58" spans="1:3" x14ac:dyDescent="0.3">
      <c r="A58" t="s">
        <v>369</v>
      </c>
      <c r="B58" t="s">
        <v>278</v>
      </c>
    </row>
    <row r="59" spans="1:3" x14ac:dyDescent="0.3">
      <c r="A59" t="s">
        <v>370</v>
      </c>
      <c r="B59" t="s">
        <v>273</v>
      </c>
    </row>
    <row r="60" spans="1:3" x14ac:dyDescent="0.3">
      <c r="A60" t="s">
        <v>383</v>
      </c>
      <c r="B60" t="s">
        <v>382</v>
      </c>
    </row>
  </sheetData>
  <sortState xmlns:xlrd2="http://schemas.microsoft.com/office/spreadsheetml/2017/richdata2" ref="A4:C28">
    <sortCondition ref="A4:A28"/>
    <sortCondition ref="B4:B28"/>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5A719-5E4F-4991-A874-476523042D79}">
  <sheetPr codeName="Sheet4"/>
  <dimension ref="A1:D39"/>
  <sheetViews>
    <sheetView workbookViewId="0">
      <pane ySplit="1" topLeftCell="A2" activePane="bottomLeft" state="frozen"/>
      <selection pane="bottomLeft"/>
    </sheetView>
  </sheetViews>
  <sheetFormatPr defaultRowHeight="14.4" x14ac:dyDescent="0.3"/>
  <cols>
    <col min="1" max="1" width="9.109375" style="1"/>
    <col min="2" max="2" width="21.5546875" style="1" bestFit="1" customWidth="1"/>
    <col min="3" max="3" width="21.5546875" style="1" customWidth="1"/>
    <col min="4" max="4" width="75.5546875" style="1" customWidth="1"/>
  </cols>
  <sheetData>
    <row r="1" spans="1:4" x14ac:dyDescent="0.3">
      <c r="A1" s="1" t="s">
        <v>81</v>
      </c>
      <c r="B1" s="1" t="s">
        <v>1</v>
      </c>
      <c r="C1" s="1" t="s">
        <v>0</v>
      </c>
      <c r="D1" s="1" t="s">
        <v>80</v>
      </c>
    </row>
    <row r="2" spans="1:4" x14ac:dyDescent="0.3">
      <c r="A2" s="1">
        <v>1</v>
      </c>
      <c r="B2" s="1" t="s">
        <v>70</v>
      </c>
      <c r="C2" s="1" t="s">
        <v>86</v>
      </c>
      <c r="D2" s="1" t="s">
        <v>60</v>
      </c>
    </row>
    <row r="3" spans="1:4" x14ac:dyDescent="0.3">
      <c r="A3" s="1">
        <v>1</v>
      </c>
      <c r="B3" s="1" t="s">
        <v>70</v>
      </c>
      <c r="C3" s="1" t="s">
        <v>87</v>
      </c>
      <c r="D3" s="1" t="s">
        <v>61</v>
      </c>
    </row>
    <row r="4" spans="1:4" x14ac:dyDescent="0.3">
      <c r="A4" s="1">
        <v>1</v>
      </c>
      <c r="B4" s="1" t="s">
        <v>70</v>
      </c>
      <c r="C4" s="1" t="s">
        <v>88</v>
      </c>
      <c r="D4" s="1" t="s">
        <v>62</v>
      </c>
    </row>
    <row r="5" spans="1:4" x14ac:dyDescent="0.3">
      <c r="A5" s="1">
        <v>1</v>
      </c>
      <c r="B5" s="1" t="s">
        <v>70</v>
      </c>
      <c r="C5" s="1" t="s">
        <v>89</v>
      </c>
      <c r="D5" s="1" t="s">
        <v>63</v>
      </c>
    </row>
    <row r="6" spans="1:4" x14ac:dyDescent="0.3">
      <c r="A6" s="1">
        <v>1</v>
      </c>
      <c r="B6" s="1" t="s">
        <v>70</v>
      </c>
      <c r="C6" s="1" t="s">
        <v>90</v>
      </c>
      <c r="D6" s="1" t="s">
        <v>64</v>
      </c>
    </row>
    <row r="7" spans="1:4" x14ac:dyDescent="0.3">
      <c r="A7" s="1">
        <v>1</v>
      </c>
      <c r="B7" s="1" t="s">
        <v>70</v>
      </c>
      <c r="C7" s="1" t="s">
        <v>91</v>
      </c>
      <c r="D7" s="1" t="s">
        <v>65</v>
      </c>
    </row>
    <row r="8" spans="1:4" x14ac:dyDescent="0.3">
      <c r="A8" s="1">
        <v>1</v>
      </c>
      <c r="B8" s="1" t="s">
        <v>70</v>
      </c>
      <c r="C8" s="1" t="s">
        <v>92</v>
      </c>
      <c r="D8" s="1" t="s">
        <v>66</v>
      </c>
    </row>
    <row r="9" spans="1:4" x14ac:dyDescent="0.3">
      <c r="A9" s="1">
        <v>1</v>
      </c>
      <c r="B9" s="1" t="s">
        <v>70</v>
      </c>
      <c r="C9" s="1" t="s">
        <v>93</v>
      </c>
      <c r="D9" s="1" t="s">
        <v>67</v>
      </c>
    </row>
    <row r="10" spans="1:4" x14ac:dyDescent="0.3">
      <c r="A10" s="1">
        <v>1</v>
      </c>
      <c r="B10" s="1" t="s">
        <v>70</v>
      </c>
      <c r="C10" s="1" t="s">
        <v>94</v>
      </c>
      <c r="D10" s="1" t="s">
        <v>68</v>
      </c>
    </row>
    <row r="11" spans="1:4" x14ac:dyDescent="0.3">
      <c r="A11" s="1">
        <v>1</v>
      </c>
      <c r="B11" s="1" t="s">
        <v>70</v>
      </c>
      <c r="C11" s="1" t="s">
        <v>95</v>
      </c>
      <c r="D11" s="1" t="s">
        <v>69</v>
      </c>
    </row>
    <row r="12" spans="1:4" x14ac:dyDescent="0.3">
      <c r="A12" s="1">
        <v>1</v>
      </c>
      <c r="B12" s="1" t="s">
        <v>113</v>
      </c>
    </row>
    <row r="13" spans="1:4" x14ac:dyDescent="0.3">
      <c r="A13" s="1">
        <v>1</v>
      </c>
      <c r="B13" s="1" t="s">
        <v>2</v>
      </c>
      <c r="C13" s="1" t="s">
        <v>71</v>
      </c>
      <c r="D13" s="1" t="s">
        <v>71</v>
      </c>
    </row>
    <row r="14" spans="1:4" ht="100.8" x14ac:dyDescent="0.3">
      <c r="A14" s="1">
        <v>1</v>
      </c>
      <c r="B14" s="1" t="s">
        <v>72</v>
      </c>
      <c r="C14" s="1" t="s">
        <v>107</v>
      </c>
      <c r="D14" s="2" t="s">
        <v>131</v>
      </c>
    </row>
    <row r="15" spans="1:4" x14ac:dyDescent="0.3">
      <c r="A15" s="1">
        <v>1</v>
      </c>
      <c r="B15" s="1" t="s">
        <v>73</v>
      </c>
      <c r="C15" s="1" t="s">
        <v>74</v>
      </c>
      <c r="D15" s="1" t="s">
        <v>74</v>
      </c>
    </row>
    <row r="16" spans="1:4" x14ac:dyDescent="0.3">
      <c r="A16" s="1">
        <v>1</v>
      </c>
      <c r="B16" s="1" t="s">
        <v>73</v>
      </c>
      <c r="C16" s="1" t="s">
        <v>75</v>
      </c>
      <c r="D16" s="1" t="s">
        <v>75</v>
      </c>
    </row>
    <row r="17" spans="1:4" x14ac:dyDescent="0.3">
      <c r="A17" s="1">
        <v>1</v>
      </c>
      <c r="B17" s="1" t="s">
        <v>73</v>
      </c>
      <c r="C17" s="1" t="s">
        <v>76</v>
      </c>
      <c r="D17" s="1" t="s">
        <v>76</v>
      </c>
    </row>
    <row r="18" spans="1:4" ht="273.60000000000002" x14ac:dyDescent="0.3">
      <c r="A18" s="1">
        <v>1</v>
      </c>
      <c r="B18" s="1" t="s">
        <v>77</v>
      </c>
      <c r="C18" s="1" t="s">
        <v>96</v>
      </c>
      <c r="D18" s="2" t="s">
        <v>117</v>
      </c>
    </row>
    <row r="19" spans="1:4" ht="331.2" x14ac:dyDescent="0.3">
      <c r="A19" s="1">
        <v>1</v>
      </c>
      <c r="B19" s="1" t="s">
        <v>77</v>
      </c>
      <c r="C19" s="1" t="s">
        <v>78</v>
      </c>
      <c r="D19" s="2" t="s">
        <v>173</v>
      </c>
    </row>
    <row r="20" spans="1:4" ht="409.6" x14ac:dyDescent="0.3">
      <c r="A20" s="1">
        <v>1</v>
      </c>
      <c r="B20" s="1" t="s">
        <v>77</v>
      </c>
      <c r="C20" s="1" t="s">
        <v>97</v>
      </c>
      <c r="D20" s="2" t="s">
        <v>174</v>
      </c>
    </row>
    <row r="21" spans="1:4" ht="302.39999999999998" x14ac:dyDescent="0.3">
      <c r="A21" s="1">
        <v>1</v>
      </c>
      <c r="B21" s="1" t="s">
        <v>79</v>
      </c>
      <c r="C21" s="1" t="s">
        <v>4</v>
      </c>
      <c r="D21" s="2" t="s">
        <v>118</v>
      </c>
    </row>
    <row r="22" spans="1:4" ht="201.6" x14ac:dyDescent="0.3">
      <c r="A22" s="1">
        <v>0</v>
      </c>
      <c r="B22" s="1" t="s">
        <v>79</v>
      </c>
      <c r="C22" s="1" t="s">
        <v>98</v>
      </c>
      <c r="D22" s="2" t="s">
        <v>119</v>
      </c>
    </row>
    <row r="23" spans="1:4" ht="201.6" x14ac:dyDescent="0.3">
      <c r="A23" s="1">
        <v>1</v>
      </c>
      <c r="B23" s="1" t="s">
        <v>79</v>
      </c>
      <c r="C23" s="1" t="s">
        <v>99</v>
      </c>
      <c r="D23" s="2" t="s">
        <v>120</v>
      </c>
    </row>
    <row r="24" spans="1:4" ht="201.6" x14ac:dyDescent="0.3">
      <c r="A24" s="1">
        <v>0</v>
      </c>
      <c r="B24" s="1" t="s">
        <v>79</v>
      </c>
      <c r="C24" s="1" t="s">
        <v>100</v>
      </c>
      <c r="D24" s="2" t="s">
        <v>121</v>
      </c>
    </row>
    <row r="25" spans="1:4" ht="302.39999999999998" x14ac:dyDescent="0.3">
      <c r="A25" s="1">
        <v>1</v>
      </c>
      <c r="B25" s="1" t="s">
        <v>77</v>
      </c>
      <c r="C25" s="1" t="s">
        <v>101</v>
      </c>
      <c r="D25" s="2" t="s">
        <v>175</v>
      </c>
    </row>
    <row r="26" spans="1:4" ht="216" x14ac:dyDescent="0.3">
      <c r="A26" s="1">
        <v>0</v>
      </c>
      <c r="B26" s="1" t="s">
        <v>79</v>
      </c>
      <c r="C26" s="1" t="s">
        <v>102</v>
      </c>
      <c r="D26" s="2" t="s">
        <v>122</v>
      </c>
    </row>
    <row r="27" spans="1:4" ht="388.8" x14ac:dyDescent="0.3">
      <c r="A27" s="1">
        <v>1</v>
      </c>
      <c r="B27" s="1" t="s">
        <v>77</v>
      </c>
      <c r="C27" s="1" t="s">
        <v>103</v>
      </c>
      <c r="D27" s="2" t="s">
        <v>176</v>
      </c>
    </row>
    <row r="28" spans="1:4" ht="201.6" x14ac:dyDescent="0.3">
      <c r="A28" s="1">
        <v>1</v>
      </c>
      <c r="B28" s="1" t="s">
        <v>77</v>
      </c>
      <c r="C28" s="1" t="s">
        <v>104</v>
      </c>
      <c r="D28" s="2" t="s">
        <v>123</v>
      </c>
    </row>
    <row r="29" spans="1:4" ht="216" x14ac:dyDescent="0.3">
      <c r="A29" s="1">
        <v>1</v>
      </c>
      <c r="B29" s="1" t="s">
        <v>77</v>
      </c>
      <c r="C29" s="1" t="s">
        <v>105</v>
      </c>
      <c r="D29" s="2" t="s">
        <v>124</v>
      </c>
    </row>
    <row r="30" spans="1:4" ht="115.2" x14ac:dyDescent="0.3">
      <c r="A30" s="1">
        <v>1</v>
      </c>
      <c r="B30" s="1" t="s">
        <v>72</v>
      </c>
      <c r="C30" s="1" t="s">
        <v>106</v>
      </c>
      <c r="D30" s="2" t="s">
        <v>125</v>
      </c>
    </row>
    <row r="31" spans="1:4" x14ac:dyDescent="0.3">
      <c r="A31" s="1">
        <v>1</v>
      </c>
      <c r="B31" s="1" t="s">
        <v>73</v>
      </c>
      <c r="C31" s="1" t="s">
        <v>74</v>
      </c>
      <c r="D31" s="1" t="s">
        <v>74</v>
      </c>
    </row>
    <row r="32" spans="1:4" ht="57.6" x14ac:dyDescent="0.3">
      <c r="A32" s="1">
        <v>1</v>
      </c>
      <c r="B32" s="1" t="s">
        <v>82</v>
      </c>
      <c r="C32" s="1" t="s">
        <v>108</v>
      </c>
      <c r="D32" s="2" t="s">
        <v>126</v>
      </c>
    </row>
    <row r="33" spans="1:4" x14ac:dyDescent="0.3">
      <c r="A33" s="1">
        <v>1</v>
      </c>
      <c r="B33" s="1" t="s">
        <v>73</v>
      </c>
      <c r="C33" s="1" t="s">
        <v>75</v>
      </c>
      <c r="D33" s="1" t="s">
        <v>75</v>
      </c>
    </row>
    <row r="34" spans="1:4" x14ac:dyDescent="0.3">
      <c r="A34" s="1">
        <v>1</v>
      </c>
      <c r="B34" s="1" t="s">
        <v>73</v>
      </c>
      <c r="C34" s="1" t="s">
        <v>76</v>
      </c>
      <c r="D34" s="1" t="s">
        <v>76</v>
      </c>
    </row>
    <row r="35" spans="1:4" ht="316.8" x14ac:dyDescent="0.3">
      <c r="A35" s="1">
        <v>1</v>
      </c>
      <c r="B35" s="1" t="s">
        <v>77</v>
      </c>
      <c r="C35" s="1" t="s">
        <v>96</v>
      </c>
      <c r="D35" s="2" t="s">
        <v>127</v>
      </c>
    </row>
    <row r="36" spans="1:4" ht="273.60000000000002" x14ac:dyDescent="0.3">
      <c r="A36" s="1">
        <v>1</v>
      </c>
      <c r="B36" s="1" t="s">
        <v>111</v>
      </c>
      <c r="C36" s="1" t="s">
        <v>82</v>
      </c>
      <c r="D36" s="2" t="s">
        <v>128</v>
      </c>
    </row>
    <row r="37" spans="1:4" ht="201.6" x14ac:dyDescent="0.3">
      <c r="A37" s="1">
        <v>1</v>
      </c>
      <c r="B37" s="1" t="s">
        <v>373</v>
      </c>
      <c r="C37" s="1" t="s">
        <v>82</v>
      </c>
      <c r="D37" s="2" t="s">
        <v>374</v>
      </c>
    </row>
    <row r="38" spans="1:4" ht="273.60000000000002" x14ac:dyDescent="0.3">
      <c r="A38" s="1">
        <v>1</v>
      </c>
      <c r="B38" s="1" t="s">
        <v>112</v>
      </c>
      <c r="C38" s="1" t="s">
        <v>82</v>
      </c>
      <c r="D38" s="2" t="s">
        <v>129</v>
      </c>
    </row>
    <row r="39" spans="1:4" ht="216" x14ac:dyDescent="0.3">
      <c r="A39" s="1">
        <v>1</v>
      </c>
      <c r="B39" s="1" t="s">
        <v>79</v>
      </c>
      <c r="C39" s="1" t="s">
        <v>109</v>
      </c>
      <c r="D39" s="2" t="s">
        <v>130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93A8E-A778-4EF5-98C5-462C448F3D0A}">
  <sheetPr codeName="Sheet9"/>
  <dimension ref="A1:D30"/>
  <sheetViews>
    <sheetView workbookViewId="0">
      <pane ySplit="1" topLeftCell="A2" activePane="bottomLeft" state="frozen"/>
      <selection pane="bottomLeft"/>
    </sheetView>
  </sheetViews>
  <sheetFormatPr defaultRowHeight="14.4" x14ac:dyDescent="0.3"/>
  <cols>
    <col min="1" max="1" width="9.109375" style="1"/>
    <col min="2" max="2" width="21.5546875" style="1" bestFit="1" customWidth="1"/>
    <col min="3" max="3" width="21.5546875" style="1" customWidth="1"/>
    <col min="4" max="4" width="75.5546875" style="1" customWidth="1"/>
  </cols>
  <sheetData>
    <row r="1" spans="1:4" x14ac:dyDescent="0.3">
      <c r="A1" s="1" t="s">
        <v>81</v>
      </c>
      <c r="B1" s="1" t="s">
        <v>1</v>
      </c>
      <c r="C1" s="1" t="s">
        <v>0</v>
      </c>
      <c r="D1" s="1" t="s">
        <v>80</v>
      </c>
    </row>
    <row r="2" spans="1:4" x14ac:dyDescent="0.3">
      <c r="A2" s="1">
        <v>1</v>
      </c>
      <c r="B2" s="1" t="s">
        <v>70</v>
      </c>
      <c r="C2" s="1" t="s">
        <v>86</v>
      </c>
      <c r="D2" s="1" t="s">
        <v>60</v>
      </c>
    </row>
    <row r="3" spans="1:4" x14ac:dyDescent="0.3">
      <c r="A3" s="1">
        <v>1</v>
      </c>
      <c r="B3" s="1" t="s">
        <v>70</v>
      </c>
      <c r="C3" s="1" t="s">
        <v>87</v>
      </c>
      <c r="D3" s="1" t="s">
        <v>61</v>
      </c>
    </row>
    <row r="4" spans="1:4" x14ac:dyDescent="0.3">
      <c r="A4" s="1">
        <v>1</v>
      </c>
      <c r="B4" s="1" t="s">
        <v>70</v>
      </c>
      <c r="C4" s="1" t="s">
        <v>146</v>
      </c>
      <c r="D4" s="1" t="s">
        <v>140</v>
      </c>
    </row>
    <row r="5" spans="1:4" x14ac:dyDescent="0.3">
      <c r="A5" s="1">
        <v>1</v>
      </c>
      <c r="B5" s="1" t="s">
        <v>70</v>
      </c>
      <c r="C5" s="1" t="s">
        <v>90</v>
      </c>
      <c r="D5" s="1" t="s">
        <v>64</v>
      </c>
    </row>
    <row r="6" spans="1:4" x14ac:dyDescent="0.3">
      <c r="A6" s="1">
        <v>1</v>
      </c>
      <c r="B6" s="1" t="s">
        <v>70</v>
      </c>
      <c r="C6" s="1" t="s">
        <v>147</v>
      </c>
      <c r="D6" s="1" t="s">
        <v>141</v>
      </c>
    </row>
    <row r="7" spans="1:4" x14ac:dyDescent="0.3">
      <c r="A7" s="1">
        <v>1</v>
      </c>
      <c r="B7" s="1" t="s">
        <v>70</v>
      </c>
      <c r="C7" s="1" t="s">
        <v>91</v>
      </c>
      <c r="D7" s="1" t="s">
        <v>65</v>
      </c>
    </row>
    <row r="8" spans="1:4" x14ac:dyDescent="0.3">
      <c r="A8" s="1">
        <v>1</v>
      </c>
      <c r="B8" s="1" t="s">
        <v>70</v>
      </c>
      <c r="C8" s="1" t="s">
        <v>148</v>
      </c>
      <c r="D8" s="1" t="s">
        <v>142</v>
      </c>
    </row>
    <row r="9" spans="1:4" x14ac:dyDescent="0.3">
      <c r="A9" s="1">
        <v>1</v>
      </c>
      <c r="B9" s="1" t="s">
        <v>70</v>
      </c>
      <c r="C9" s="1" t="s">
        <v>149</v>
      </c>
      <c r="D9" s="1" t="s">
        <v>143</v>
      </c>
    </row>
    <row r="10" spans="1:4" x14ac:dyDescent="0.3">
      <c r="A10" s="1">
        <v>1</v>
      </c>
      <c r="B10" s="1" t="s">
        <v>70</v>
      </c>
      <c r="C10" s="1" t="s">
        <v>150</v>
      </c>
      <c r="D10" s="1" t="s">
        <v>144</v>
      </c>
    </row>
    <row r="11" spans="1:4" x14ac:dyDescent="0.3">
      <c r="A11" s="1">
        <v>1</v>
      </c>
      <c r="B11" s="1" t="s">
        <v>70</v>
      </c>
      <c r="C11" s="1" t="s">
        <v>151</v>
      </c>
      <c r="D11" s="1" t="s">
        <v>145</v>
      </c>
    </row>
    <row r="12" spans="1:4" x14ac:dyDescent="0.3">
      <c r="A12" s="1">
        <v>1</v>
      </c>
      <c r="B12" s="1" t="s">
        <v>113</v>
      </c>
    </row>
    <row r="13" spans="1:4" x14ac:dyDescent="0.3">
      <c r="A13" s="1">
        <v>1</v>
      </c>
      <c r="B13" s="1" t="s">
        <v>70</v>
      </c>
      <c r="C13" s="1" t="s">
        <v>71</v>
      </c>
      <c r="D13" s="1" t="s">
        <v>152</v>
      </c>
    </row>
    <row r="14" spans="1:4" x14ac:dyDescent="0.3">
      <c r="A14" s="1">
        <v>1</v>
      </c>
      <c r="B14" s="1" t="s">
        <v>113</v>
      </c>
    </row>
    <row r="15" spans="1:4" x14ac:dyDescent="0.3">
      <c r="A15" s="1">
        <v>1</v>
      </c>
      <c r="B15" s="1" t="s">
        <v>2</v>
      </c>
      <c r="C15" s="1" t="s">
        <v>153</v>
      </c>
      <c r="D15" s="1" t="s">
        <v>153</v>
      </c>
    </row>
    <row r="16" spans="1:4" ht="100.8" x14ac:dyDescent="0.3">
      <c r="A16" s="1">
        <v>1</v>
      </c>
      <c r="B16" s="1" t="s">
        <v>72</v>
      </c>
      <c r="C16" s="1" t="s">
        <v>154</v>
      </c>
      <c r="D16" s="2" t="s">
        <v>165</v>
      </c>
    </row>
    <row r="17" spans="1:4" x14ac:dyDescent="0.3">
      <c r="A17" s="1">
        <v>1</v>
      </c>
      <c r="B17" s="1" t="s">
        <v>73</v>
      </c>
      <c r="C17" s="1" t="s">
        <v>74</v>
      </c>
      <c r="D17" s="1" t="s">
        <v>74</v>
      </c>
    </row>
    <row r="18" spans="1:4" ht="28.8" x14ac:dyDescent="0.3">
      <c r="A18" s="1">
        <v>1</v>
      </c>
      <c r="B18" s="1" t="s">
        <v>82</v>
      </c>
      <c r="C18" s="1" t="s">
        <v>155</v>
      </c>
      <c r="D18" s="2" t="s">
        <v>156</v>
      </c>
    </row>
    <row r="19" spans="1:4" x14ac:dyDescent="0.3">
      <c r="A19" s="1">
        <v>1</v>
      </c>
      <c r="B19" s="1" t="s">
        <v>73</v>
      </c>
      <c r="C19" s="1" t="s">
        <v>75</v>
      </c>
      <c r="D19" s="1" t="s">
        <v>75</v>
      </c>
    </row>
    <row r="20" spans="1:4" ht="244.8" x14ac:dyDescent="0.3">
      <c r="A20" s="1">
        <v>1</v>
      </c>
      <c r="B20" s="1" t="s">
        <v>77</v>
      </c>
      <c r="C20" s="1" t="s">
        <v>157</v>
      </c>
      <c r="D20" s="2" t="s">
        <v>158</v>
      </c>
    </row>
    <row r="21" spans="1:4" x14ac:dyDescent="0.3">
      <c r="A21" s="1">
        <v>1</v>
      </c>
      <c r="B21" s="1" t="s">
        <v>73</v>
      </c>
      <c r="C21" s="1" t="s">
        <v>76</v>
      </c>
      <c r="D21" s="1" t="s">
        <v>76</v>
      </c>
    </row>
    <row r="22" spans="1:4" ht="187.2" x14ac:dyDescent="0.3">
      <c r="A22" s="1">
        <v>1</v>
      </c>
      <c r="B22" s="1" t="s">
        <v>77</v>
      </c>
      <c r="C22" s="1" t="s">
        <v>96</v>
      </c>
      <c r="D22" s="2" t="s">
        <v>166</v>
      </c>
    </row>
    <row r="23" spans="1:4" ht="201.6" x14ac:dyDescent="0.3">
      <c r="A23" s="1">
        <v>1</v>
      </c>
      <c r="B23" s="1" t="s">
        <v>159</v>
      </c>
      <c r="C23" s="1" t="s">
        <v>106</v>
      </c>
      <c r="D23" s="2" t="s">
        <v>167</v>
      </c>
    </row>
    <row r="24" spans="1:4" ht="360" x14ac:dyDescent="0.3">
      <c r="A24" s="1">
        <v>1</v>
      </c>
      <c r="B24" s="1" t="s">
        <v>77</v>
      </c>
      <c r="C24" s="1" t="s">
        <v>160</v>
      </c>
      <c r="D24" s="2" t="s">
        <v>168</v>
      </c>
    </row>
    <row r="25" spans="1:4" ht="409.6" x14ac:dyDescent="0.3">
      <c r="A25" s="1">
        <v>1</v>
      </c>
      <c r="B25" s="1" t="s">
        <v>77</v>
      </c>
      <c r="C25" s="1" t="s">
        <v>161</v>
      </c>
      <c r="D25" s="2" t="s">
        <v>169</v>
      </c>
    </row>
    <row r="26" spans="1:4" ht="230.4" x14ac:dyDescent="0.3">
      <c r="A26" s="1">
        <v>1</v>
      </c>
      <c r="B26" s="1" t="s">
        <v>77</v>
      </c>
      <c r="C26" s="1" t="s">
        <v>162</v>
      </c>
      <c r="D26" s="2" t="s">
        <v>170</v>
      </c>
    </row>
    <row r="27" spans="1:4" ht="288" x14ac:dyDescent="0.3">
      <c r="A27" s="1">
        <v>1</v>
      </c>
      <c r="B27" s="1" t="s">
        <v>77</v>
      </c>
      <c r="C27" s="1" t="s">
        <v>388</v>
      </c>
      <c r="D27" s="2" t="s">
        <v>390</v>
      </c>
    </row>
    <row r="28" spans="1:4" ht="302.39999999999998" x14ac:dyDescent="0.3">
      <c r="A28" s="1">
        <v>1</v>
      </c>
      <c r="B28" s="1" t="s">
        <v>77</v>
      </c>
      <c r="C28" s="1" t="s">
        <v>384</v>
      </c>
      <c r="D28" s="2" t="s">
        <v>393</v>
      </c>
    </row>
    <row r="29" spans="1:4" ht="388.8" x14ac:dyDescent="0.3">
      <c r="A29" s="1">
        <v>1</v>
      </c>
      <c r="B29" s="1" t="s">
        <v>77</v>
      </c>
      <c r="C29" s="1" t="s">
        <v>163</v>
      </c>
      <c r="D29" s="2" t="s">
        <v>171</v>
      </c>
    </row>
    <row r="30" spans="1:4" ht="374.4" x14ac:dyDescent="0.3">
      <c r="A30" s="1">
        <v>1</v>
      </c>
      <c r="B30" s="1" t="s">
        <v>77</v>
      </c>
      <c r="C30" s="1" t="s">
        <v>164</v>
      </c>
      <c r="D30" s="2" t="s">
        <v>172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91E6A-C006-432F-AE5E-1EC8164CAAAF}">
  <sheetPr codeName="Sheet11"/>
  <dimension ref="A1:D22"/>
  <sheetViews>
    <sheetView workbookViewId="0">
      <pane ySplit="1" topLeftCell="A2" activePane="bottomLeft" state="frozen"/>
      <selection pane="bottomLeft" activeCell="D1" sqref="D1"/>
    </sheetView>
  </sheetViews>
  <sheetFormatPr defaultRowHeight="14.4" x14ac:dyDescent="0.3"/>
  <cols>
    <col min="1" max="1" width="9.109375" style="1"/>
    <col min="2" max="2" width="21.5546875" style="1" bestFit="1" customWidth="1"/>
    <col min="3" max="3" width="21.5546875" style="1" customWidth="1"/>
    <col min="4" max="4" width="75.5546875" style="1" customWidth="1"/>
  </cols>
  <sheetData>
    <row r="1" spans="1:4" x14ac:dyDescent="0.3">
      <c r="A1" s="1" t="s">
        <v>81</v>
      </c>
      <c r="B1" s="1" t="s">
        <v>1</v>
      </c>
      <c r="C1" s="1" t="s">
        <v>0</v>
      </c>
      <c r="D1" s="1" t="s">
        <v>80</v>
      </c>
    </row>
    <row r="2" spans="1:4" x14ac:dyDescent="0.3">
      <c r="A2" s="1">
        <v>1</v>
      </c>
      <c r="B2" s="1" t="s">
        <v>70</v>
      </c>
      <c r="C2" s="1" t="s">
        <v>86</v>
      </c>
      <c r="D2" s="1" t="s">
        <v>60</v>
      </c>
    </row>
    <row r="3" spans="1:4" x14ac:dyDescent="0.3">
      <c r="A3" s="1">
        <v>1</v>
      </c>
      <c r="B3" s="1" t="s">
        <v>70</v>
      </c>
      <c r="C3" s="1" t="s">
        <v>87</v>
      </c>
      <c r="D3" s="1" t="s">
        <v>61</v>
      </c>
    </row>
    <row r="4" spans="1:4" x14ac:dyDescent="0.3">
      <c r="A4" s="1">
        <v>1</v>
      </c>
      <c r="B4" s="1" t="s">
        <v>70</v>
      </c>
      <c r="C4" s="1" t="s">
        <v>146</v>
      </c>
      <c r="D4" s="1" t="s">
        <v>140</v>
      </c>
    </row>
    <row r="5" spans="1:4" x14ac:dyDescent="0.3">
      <c r="A5" s="1">
        <v>1</v>
      </c>
      <c r="B5" s="1" t="s">
        <v>70</v>
      </c>
      <c r="C5" s="1" t="s">
        <v>90</v>
      </c>
      <c r="D5" s="1" t="s">
        <v>64</v>
      </c>
    </row>
    <row r="6" spans="1:4" x14ac:dyDescent="0.3">
      <c r="A6" s="1">
        <v>1</v>
      </c>
      <c r="B6" s="1" t="s">
        <v>70</v>
      </c>
      <c r="C6" s="1" t="s">
        <v>147</v>
      </c>
      <c r="D6" s="1" t="s">
        <v>141</v>
      </c>
    </row>
    <row r="7" spans="1:4" x14ac:dyDescent="0.3">
      <c r="A7" s="1">
        <v>1</v>
      </c>
      <c r="B7" s="1" t="s">
        <v>70</v>
      </c>
      <c r="C7" s="1" t="s">
        <v>91</v>
      </c>
      <c r="D7" s="1" t="s">
        <v>65</v>
      </c>
    </row>
    <row r="8" spans="1:4" x14ac:dyDescent="0.3">
      <c r="A8" s="1">
        <v>1</v>
      </c>
      <c r="B8" s="1" t="s">
        <v>70</v>
      </c>
      <c r="C8" s="1" t="s">
        <v>148</v>
      </c>
      <c r="D8" s="1" t="s">
        <v>142</v>
      </c>
    </row>
    <row r="9" spans="1:4" x14ac:dyDescent="0.3">
      <c r="A9" s="1">
        <v>1</v>
      </c>
      <c r="B9" s="1" t="s">
        <v>70</v>
      </c>
      <c r="C9" s="1" t="s">
        <v>149</v>
      </c>
      <c r="D9" s="1" t="s">
        <v>143</v>
      </c>
    </row>
    <row r="10" spans="1:4" x14ac:dyDescent="0.3">
      <c r="A10" s="1">
        <v>1</v>
      </c>
      <c r="B10" s="1" t="s">
        <v>70</v>
      </c>
      <c r="C10" s="1" t="s">
        <v>150</v>
      </c>
      <c r="D10" s="1" t="s">
        <v>144</v>
      </c>
    </row>
    <row r="11" spans="1:4" x14ac:dyDescent="0.3">
      <c r="A11" s="1">
        <v>1</v>
      </c>
      <c r="B11" s="1" t="s">
        <v>70</v>
      </c>
      <c r="C11" s="1" t="s">
        <v>151</v>
      </c>
      <c r="D11" s="1" t="s">
        <v>145</v>
      </c>
    </row>
    <row r="12" spans="1:4" x14ac:dyDescent="0.3">
      <c r="A12" s="1">
        <v>1</v>
      </c>
      <c r="B12" s="1" t="s">
        <v>113</v>
      </c>
    </row>
    <row r="13" spans="1:4" x14ac:dyDescent="0.3">
      <c r="A13" s="1">
        <v>1</v>
      </c>
      <c r="B13" s="1" t="s">
        <v>70</v>
      </c>
      <c r="C13" s="1" t="s">
        <v>71</v>
      </c>
      <c r="D13" s="1" t="s">
        <v>152</v>
      </c>
    </row>
    <row r="14" spans="1:4" x14ac:dyDescent="0.3">
      <c r="A14" s="1">
        <v>1</v>
      </c>
      <c r="B14" s="1" t="s">
        <v>113</v>
      </c>
    </row>
    <row r="15" spans="1:4" x14ac:dyDescent="0.3">
      <c r="A15" s="1">
        <v>1</v>
      </c>
      <c r="B15" s="1" t="s">
        <v>2</v>
      </c>
      <c r="C15" s="1" t="s">
        <v>153</v>
      </c>
      <c r="D15" s="1" t="s">
        <v>153</v>
      </c>
    </row>
    <row r="16" spans="1:4" ht="100.8" x14ac:dyDescent="0.3">
      <c r="A16" s="1">
        <v>1</v>
      </c>
      <c r="B16" s="1" t="s">
        <v>72</v>
      </c>
      <c r="C16" s="1" t="s">
        <v>154</v>
      </c>
      <c r="D16" s="2" t="s">
        <v>387</v>
      </c>
    </row>
    <row r="17" spans="1:4" x14ac:dyDescent="0.3">
      <c r="A17" s="1">
        <v>1</v>
      </c>
      <c r="B17" s="1" t="s">
        <v>73</v>
      </c>
      <c r="C17" s="1" t="s">
        <v>74</v>
      </c>
      <c r="D17" s="1" t="s">
        <v>74</v>
      </c>
    </row>
    <row r="18" spans="1:4" ht="28.8" x14ac:dyDescent="0.3">
      <c r="A18" s="1">
        <v>1</v>
      </c>
      <c r="B18" s="1" t="s">
        <v>82</v>
      </c>
      <c r="C18" s="1" t="s">
        <v>155</v>
      </c>
      <c r="D18" s="2" t="s">
        <v>389</v>
      </c>
    </row>
    <row r="19" spans="1:4" x14ac:dyDescent="0.3">
      <c r="A19" s="1">
        <v>1</v>
      </c>
      <c r="B19" s="1" t="s">
        <v>73</v>
      </c>
      <c r="C19" s="1" t="s">
        <v>75</v>
      </c>
      <c r="D19" s="1" t="s">
        <v>75</v>
      </c>
    </row>
    <row r="20" spans="1:4" x14ac:dyDescent="0.3">
      <c r="A20" s="1">
        <v>1</v>
      </c>
      <c r="B20" s="1" t="s">
        <v>73</v>
      </c>
      <c r="C20" s="1" t="s">
        <v>76</v>
      </c>
      <c r="D20" s="1" t="s">
        <v>76</v>
      </c>
    </row>
    <row r="21" spans="1:4" ht="409.6" x14ac:dyDescent="0.3">
      <c r="A21" s="1">
        <v>1</v>
      </c>
      <c r="B21" s="1" t="s">
        <v>77</v>
      </c>
      <c r="C21" s="1" t="s">
        <v>161</v>
      </c>
      <c r="D21" s="2" t="s">
        <v>391</v>
      </c>
    </row>
    <row r="22" spans="1:4" ht="216" x14ac:dyDescent="0.3">
      <c r="A22" s="1">
        <v>1</v>
      </c>
      <c r="B22" s="1" t="s">
        <v>77</v>
      </c>
      <c r="C22" s="1" t="s">
        <v>162</v>
      </c>
      <c r="D22" s="2" t="s">
        <v>392</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2F091-C964-4F92-86A1-00A723F70B11}">
  <sheetPr codeName="Sheet10"/>
  <dimension ref="A1:E65"/>
  <sheetViews>
    <sheetView workbookViewId="0">
      <pane ySplit="1" topLeftCell="A58" activePane="bottomLeft" state="frozen"/>
      <selection pane="bottomLeft" activeCell="D64" sqref="D64"/>
    </sheetView>
  </sheetViews>
  <sheetFormatPr defaultRowHeight="14.4" x14ac:dyDescent="0.3"/>
  <cols>
    <col min="1" max="1" width="9.109375" style="1"/>
    <col min="2" max="2" width="25.88671875" style="1" customWidth="1"/>
    <col min="3" max="3" width="9.109375" style="1"/>
    <col min="4" max="4" width="77" style="1" customWidth="1"/>
    <col min="5" max="5" width="9.109375" style="1"/>
  </cols>
  <sheetData>
    <row r="1" spans="1:5" x14ac:dyDescent="0.3">
      <c r="A1" s="1" t="s">
        <v>81</v>
      </c>
      <c r="B1" s="1" t="s">
        <v>1</v>
      </c>
      <c r="C1" s="1" t="s">
        <v>0</v>
      </c>
      <c r="D1" s="1" t="s">
        <v>80</v>
      </c>
      <c r="E1" s="1" t="s">
        <v>385</v>
      </c>
    </row>
    <row r="2" spans="1:5" x14ac:dyDescent="0.3">
      <c r="A2" s="1">
        <v>1</v>
      </c>
      <c r="B2" s="1" t="s">
        <v>5</v>
      </c>
      <c r="C2" s="1" t="s">
        <v>183</v>
      </c>
      <c r="D2" s="1" t="s">
        <v>614</v>
      </c>
    </row>
    <row r="3" spans="1:5" ht="72" x14ac:dyDescent="0.3">
      <c r="A3" s="1">
        <v>1</v>
      </c>
      <c r="B3" s="1" t="s">
        <v>5</v>
      </c>
      <c r="C3" s="1" t="s">
        <v>195</v>
      </c>
      <c r="D3" s="2" t="s">
        <v>615</v>
      </c>
    </row>
    <row r="4" spans="1:5" x14ac:dyDescent="0.3">
      <c r="A4" s="1">
        <v>1</v>
      </c>
      <c r="B4" s="1" t="s">
        <v>5</v>
      </c>
      <c r="C4" s="1" t="s">
        <v>194</v>
      </c>
      <c r="D4" s="1" t="s">
        <v>184</v>
      </c>
    </row>
    <row r="5" spans="1:5" ht="201.6" x14ac:dyDescent="0.3">
      <c r="A5" s="1">
        <v>1</v>
      </c>
      <c r="B5" s="1" t="s">
        <v>5</v>
      </c>
      <c r="C5" s="1" t="s">
        <v>195</v>
      </c>
      <c r="D5" s="2" t="s">
        <v>616</v>
      </c>
    </row>
    <row r="6" spans="1:5" x14ac:dyDescent="0.3">
      <c r="A6" s="1">
        <v>1</v>
      </c>
      <c r="B6" s="1" t="s">
        <v>5</v>
      </c>
      <c r="C6" s="1" t="s">
        <v>193</v>
      </c>
      <c r="D6" s="1" t="s">
        <v>185</v>
      </c>
    </row>
    <row r="7" spans="1:5" x14ac:dyDescent="0.3">
      <c r="A7" s="1">
        <v>1</v>
      </c>
      <c r="B7" s="1" t="s">
        <v>5</v>
      </c>
      <c r="C7" s="1" t="s">
        <v>196</v>
      </c>
      <c r="D7" s="1" t="s">
        <v>617</v>
      </c>
    </row>
    <row r="8" spans="1:5" x14ac:dyDescent="0.3">
      <c r="A8" s="1">
        <v>1</v>
      </c>
      <c r="B8" s="1" t="s">
        <v>5</v>
      </c>
      <c r="C8" s="1" t="s">
        <v>195</v>
      </c>
      <c r="D8" s="1" t="s">
        <v>186</v>
      </c>
    </row>
    <row r="9" spans="1:5" x14ac:dyDescent="0.3">
      <c r="A9" s="1">
        <v>1</v>
      </c>
      <c r="B9" s="1" t="s">
        <v>5</v>
      </c>
      <c r="C9" s="1" t="s">
        <v>197</v>
      </c>
      <c r="D9" s="1" t="s">
        <v>618</v>
      </c>
    </row>
    <row r="10" spans="1:5" x14ac:dyDescent="0.3">
      <c r="A10" s="1">
        <v>1</v>
      </c>
      <c r="B10" s="1" t="s">
        <v>5</v>
      </c>
      <c r="C10" s="1" t="s">
        <v>197</v>
      </c>
      <c r="D10" s="1" t="s">
        <v>619</v>
      </c>
    </row>
    <row r="11" spans="1:5" x14ac:dyDescent="0.3">
      <c r="A11" s="1">
        <v>1</v>
      </c>
      <c r="B11" s="1" t="s">
        <v>5</v>
      </c>
      <c r="C11" s="1" t="s">
        <v>197</v>
      </c>
      <c r="D11" s="1" t="s">
        <v>620</v>
      </c>
    </row>
    <row r="12" spans="1:5" x14ac:dyDescent="0.3">
      <c r="A12" s="1">
        <v>1</v>
      </c>
      <c r="B12" s="1" t="s">
        <v>5</v>
      </c>
      <c r="C12" s="1" t="s">
        <v>197</v>
      </c>
      <c r="D12" s="1" t="s">
        <v>621</v>
      </c>
    </row>
    <row r="13" spans="1:5" x14ac:dyDescent="0.3">
      <c r="A13" s="1">
        <v>1</v>
      </c>
      <c r="B13" s="1" t="s">
        <v>5</v>
      </c>
      <c r="C13" s="1" t="s">
        <v>197</v>
      </c>
      <c r="D13" s="1" t="s">
        <v>622</v>
      </c>
    </row>
    <row r="14" spans="1:5" x14ac:dyDescent="0.3">
      <c r="A14" s="1">
        <v>1</v>
      </c>
      <c r="B14" s="1" t="s">
        <v>5</v>
      </c>
      <c r="C14" s="1" t="s">
        <v>198</v>
      </c>
      <c r="D14" s="1" t="s">
        <v>623</v>
      </c>
    </row>
    <row r="15" spans="1:5" x14ac:dyDescent="0.3">
      <c r="A15" s="1">
        <v>1</v>
      </c>
      <c r="B15" s="1" t="s">
        <v>5</v>
      </c>
      <c r="C15" s="1" t="s">
        <v>198</v>
      </c>
      <c r="D15" s="1" t="s">
        <v>624</v>
      </c>
    </row>
    <row r="16" spans="1:5" x14ac:dyDescent="0.3">
      <c r="A16" s="1">
        <v>1</v>
      </c>
      <c r="B16" s="1" t="s">
        <v>5</v>
      </c>
      <c r="C16" s="1" t="s">
        <v>198</v>
      </c>
      <c r="D16" s="1" t="s">
        <v>625</v>
      </c>
    </row>
    <row r="17" spans="1:4" x14ac:dyDescent="0.3">
      <c r="A17" s="1">
        <v>1</v>
      </c>
      <c r="B17" s="1" t="s">
        <v>5</v>
      </c>
      <c r="C17" s="1" t="s">
        <v>198</v>
      </c>
      <c r="D17" s="1" t="s">
        <v>626</v>
      </c>
    </row>
    <row r="18" spans="1:4" x14ac:dyDescent="0.3">
      <c r="A18" s="1">
        <v>1</v>
      </c>
      <c r="B18" s="1" t="s">
        <v>5</v>
      </c>
      <c r="C18" s="1" t="s">
        <v>198</v>
      </c>
      <c r="D18" s="1" t="s">
        <v>627</v>
      </c>
    </row>
    <row r="19" spans="1:4" x14ac:dyDescent="0.3">
      <c r="A19" s="1">
        <v>1</v>
      </c>
      <c r="B19" s="1" t="s">
        <v>5</v>
      </c>
      <c r="C19" s="1" t="s">
        <v>199</v>
      </c>
      <c r="D19" s="1" t="s">
        <v>187</v>
      </c>
    </row>
    <row r="20" spans="1:4" x14ac:dyDescent="0.3">
      <c r="A20" s="1">
        <v>1</v>
      </c>
      <c r="B20" s="1" t="s">
        <v>5</v>
      </c>
      <c r="C20" s="1" t="s">
        <v>192</v>
      </c>
      <c r="D20" s="1" t="s">
        <v>188</v>
      </c>
    </row>
    <row r="21" spans="1:4" x14ac:dyDescent="0.3">
      <c r="A21" s="1">
        <v>1</v>
      </c>
      <c r="B21" s="1" t="s">
        <v>189</v>
      </c>
      <c r="C21" s="1" t="s">
        <v>629</v>
      </c>
      <c r="D21" s="1" t="s">
        <v>628</v>
      </c>
    </row>
    <row r="22" spans="1:4" x14ac:dyDescent="0.3">
      <c r="A22" s="1">
        <v>1</v>
      </c>
      <c r="B22" s="1" t="s">
        <v>189</v>
      </c>
      <c r="C22" s="1" t="s">
        <v>195</v>
      </c>
      <c r="D22" s="1" t="s">
        <v>630</v>
      </c>
    </row>
    <row r="23" spans="1:4" x14ac:dyDescent="0.3">
      <c r="A23" s="1">
        <v>1</v>
      </c>
      <c r="B23" s="1" t="s">
        <v>190</v>
      </c>
      <c r="C23" s="1" t="s">
        <v>191</v>
      </c>
      <c r="D23" s="1" t="s">
        <v>200</v>
      </c>
    </row>
    <row r="24" spans="1:4" x14ac:dyDescent="0.3">
      <c r="A24" s="1">
        <v>1</v>
      </c>
      <c r="B24" s="1" t="s">
        <v>678</v>
      </c>
      <c r="C24" s="1" t="s">
        <v>201</v>
      </c>
      <c r="D24" s="1" t="s">
        <v>631</v>
      </c>
    </row>
    <row r="25" spans="1:4" x14ac:dyDescent="0.3">
      <c r="A25" s="1">
        <v>1</v>
      </c>
      <c r="B25" s="1" t="s">
        <v>190</v>
      </c>
      <c r="C25" s="1" t="s">
        <v>632</v>
      </c>
      <c r="D25" s="1" t="s">
        <v>202</v>
      </c>
    </row>
    <row r="26" spans="1:4" x14ac:dyDescent="0.3">
      <c r="A26" s="1">
        <v>1</v>
      </c>
      <c r="B26" s="1" t="s">
        <v>189</v>
      </c>
      <c r="C26" s="1" t="s">
        <v>195</v>
      </c>
      <c r="D26" s="1" t="s">
        <v>633</v>
      </c>
    </row>
    <row r="27" spans="1:4" x14ac:dyDescent="0.3">
      <c r="A27" s="1">
        <v>1</v>
      </c>
      <c r="B27" s="1" t="s">
        <v>677</v>
      </c>
      <c r="C27" s="1" t="s">
        <v>195</v>
      </c>
      <c r="D27" s="1" t="s">
        <v>634</v>
      </c>
    </row>
    <row r="28" spans="1:4" x14ac:dyDescent="0.3">
      <c r="A28" s="1">
        <v>1</v>
      </c>
      <c r="C28" s="1" t="s">
        <v>203</v>
      </c>
      <c r="D28" s="2" t="s">
        <v>636</v>
      </c>
    </row>
    <row r="29" spans="1:4" x14ac:dyDescent="0.3">
      <c r="A29" s="1">
        <v>1</v>
      </c>
      <c r="D29" s="2" t="s">
        <v>637</v>
      </c>
    </row>
    <row r="30" spans="1:4" x14ac:dyDescent="0.3">
      <c r="A30" s="1">
        <v>1</v>
      </c>
      <c r="D30" s="2" t="s">
        <v>638</v>
      </c>
    </row>
    <row r="31" spans="1:4" x14ac:dyDescent="0.3">
      <c r="A31" s="1">
        <v>1</v>
      </c>
      <c r="D31" s="2" t="s">
        <v>639</v>
      </c>
    </row>
    <row r="32" spans="1:4" x14ac:dyDescent="0.3">
      <c r="A32" s="1">
        <v>1</v>
      </c>
      <c r="D32" s="2" t="s">
        <v>640</v>
      </c>
    </row>
    <row r="33" spans="1:4" x14ac:dyDescent="0.3">
      <c r="A33" s="1">
        <v>1</v>
      </c>
      <c r="D33" s="2" t="s">
        <v>641</v>
      </c>
    </row>
    <row r="34" spans="1:4" x14ac:dyDescent="0.3">
      <c r="A34" s="1">
        <v>1</v>
      </c>
      <c r="D34" s="2" t="s">
        <v>642</v>
      </c>
    </row>
    <row r="35" spans="1:4" x14ac:dyDescent="0.3">
      <c r="A35" s="1">
        <v>1</v>
      </c>
      <c r="D35" s="2" t="s">
        <v>643</v>
      </c>
    </row>
    <row r="36" spans="1:4" x14ac:dyDescent="0.3">
      <c r="A36" s="1">
        <v>1</v>
      </c>
      <c r="D36" s="2" t="s">
        <v>644</v>
      </c>
    </row>
    <row r="37" spans="1:4" x14ac:dyDescent="0.3">
      <c r="A37" s="1">
        <v>1</v>
      </c>
      <c r="B37" s="1" t="s">
        <v>679</v>
      </c>
      <c r="D37" s="2"/>
    </row>
    <row r="38" spans="1:4" x14ac:dyDescent="0.3">
      <c r="A38" s="1">
        <v>1</v>
      </c>
      <c r="B38" s="1" t="s">
        <v>666</v>
      </c>
      <c r="D38" s="2" t="s">
        <v>645</v>
      </c>
    </row>
    <row r="39" spans="1:4" x14ac:dyDescent="0.3">
      <c r="A39" s="1">
        <v>1</v>
      </c>
      <c r="B39" s="1" t="s">
        <v>666</v>
      </c>
      <c r="D39" s="2" t="s">
        <v>657</v>
      </c>
    </row>
    <row r="40" spans="1:4" x14ac:dyDescent="0.3">
      <c r="A40" s="1">
        <v>1</v>
      </c>
      <c r="B40" s="1" t="s">
        <v>666</v>
      </c>
      <c r="D40" s="2" t="s">
        <v>658</v>
      </c>
    </row>
    <row r="41" spans="1:4" x14ac:dyDescent="0.3">
      <c r="A41" s="1">
        <v>1</v>
      </c>
      <c r="B41" s="1" t="s">
        <v>667</v>
      </c>
      <c r="D41" s="2" t="s">
        <v>662</v>
      </c>
    </row>
    <row r="42" spans="1:4" x14ac:dyDescent="0.3">
      <c r="A42" s="1">
        <v>1</v>
      </c>
      <c r="B42" s="1" t="s">
        <v>667</v>
      </c>
      <c r="D42" s="2" t="s">
        <v>663</v>
      </c>
    </row>
    <row r="43" spans="1:4" x14ac:dyDescent="0.3">
      <c r="A43" s="1">
        <v>1</v>
      </c>
      <c r="B43" s="1" t="s">
        <v>667</v>
      </c>
      <c r="D43" s="2" t="s">
        <v>658</v>
      </c>
    </row>
    <row r="44" spans="1:4" x14ac:dyDescent="0.3">
      <c r="A44" s="1">
        <v>1</v>
      </c>
      <c r="B44" s="1" t="s">
        <v>667</v>
      </c>
      <c r="D44" s="2" t="s">
        <v>664</v>
      </c>
    </row>
    <row r="45" spans="1:4" x14ac:dyDescent="0.3">
      <c r="A45" s="1">
        <v>1</v>
      </c>
      <c r="B45" s="1" t="s">
        <v>667</v>
      </c>
      <c r="D45" s="2" t="s">
        <v>665</v>
      </c>
    </row>
    <row r="46" spans="1:4" x14ac:dyDescent="0.3">
      <c r="A46" s="1">
        <v>1</v>
      </c>
      <c r="B46" s="1" t="s">
        <v>667</v>
      </c>
      <c r="D46" s="2" t="s">
        <v>658</v>
      </c>
    </row>
    <row r="47" spans="1:4" x14ac:dyDescent="0.3">
      <c r="A47" s="1">
        <v>1</v>
      </c>
      <c r="B47" s="1" t="s">
        <v>680</v>
      </c>
      <c r="D47" s="2"/>
    </row>
    <row r="48" spans="1:4" x14ac:dyDescent="0.3">
      <c r="A48" s="1">
        <v>1</v>
      </c>
      <c r="D48" s="2" t="s">
        <v>659</v>
      </c>
    </row>
    <row r="49" spans="1:4" x14ac:dyDescent="0.3">
      <c r="A49" s="1">
        <v>1</v>
      </c>
      <c r="D49" s="2" t="s">
        <v>660</v>
      </c>
    </row>
    <row r="50" spans="1:4" x14ac:dyDescent="0.3">
      <c r="A50" s="1">
        <v>1</v>
      </c>
      <c r="D50" s="2" t="s">
        <v>661</v>
      </c>
    </row>
    <row r="51" spans="1:4" x14ac:dyDescent="0.3">
      <c r="A51" s="1">
        <v>1</v>
      </c>
      <c r="D51" s="2" t="s">
        <v>661</v>
      </c>
    </row>
    <row r="52" spans="1:4" x14ac:dyDescent="0.3">
      <c r="A52" s="1">
        <v>1</v>
      </c>
      <c r="D52" s="2" t="s">
        <v>668</v>
      </c>
    </row>
    <row r="53" spans="1:4" x14ac:dyDescent="0.3">
      <c r="A53" s="1">
        <v>1</v>
      </c>
      <c r="D53" s="2" t="s">
        <v>669</v>
      </c>
    </row>
    <row r="54" spans="1:4" x14ac:dyDescent="0.3">
      <c r="A54" s="1">
        <v>1</v>
      </c>
      <c r="D54" s="2" t="s">
        <v>640</v>
      </c>
    </row>
    <row r="55" spans="1:4" x14ac:dyDescent="0.3">
      <c r="A55" s="1">
        <v>1</v>
      </c>
      <c r="D55" s="2" t="s">
        <v>671</v>
      </c>
    </row>
    <row r="56" spans="1:4" x14ac:dyDescent="0.3">
      <c r="A56" s="1">
        <v>1</v>
      </c>
      <c r="D56" s="2" t="s">
        <v>672</v>
      </c>
    </row>
    <row r="57" spans="1:4" x14ac:dyDescent="0.3">
      <c r="A57" s="1">
        <v>1</v>
      </c>
      <c r="D57" s="2" t="s">
        <v>673</v>
      </c>
    </row>
    <row r="58" spans="1:4" ht="72" x14ac:dyDescent="0.3">
      <c r="A58" s="1">
        <v>1</v>
      </c>
      <c r="B58" s="1" t="s">
        <v>681</v>
      </c>
      <c r="D58" s="2" t="s">
        <v>674</v>
      </c>
    </row>
    <row r="59" spans="1:4" x14ac:dyDescent="0.3">
      <c r="A59" s="1">
        <v>1</v>
      </c>
      <c r="D59" s="2" t="s">
        <v>661</v>
      </c>
    </row>
    <row r="60" spans="1:4" x14ac:dyDescent="0.3">
      <c r="A60" s="1">
        <v>1</v>
      </c>
      <c r="D60" s="2" t="s">
        <v>661</v>
      </c>
    </row>
    <row r="61" spans="1:4" x14ac:dyDescent="0.3">
      <c r="A61" s="1">
        <v>1</v>
      </c>
      <c r="D61" s="2" t="s">
        <v>670</v>
      </c>
    </row>
    <row r="62" spans="1:4" x14ac:dyDescent="0.3">
      <c r="A62" s="1">
        <v>1</v>
      </c>
      <c r="B62" s="1" t="s">
        <v>682</v>
      </c>
      <c r="C62" s="1" t="s">
        <v>195</v>
      </c>
      <c r="D62" s="2" t="s">
        <v>635</v>
      </c>
    </row>
    <row r="63" spans="1:4" x14ac:dyDescent="0.3">
      <c r="A63" s="1">
        <v>1</v>
      </c>
      <c r="D63" s="2" t="s">
        <v>661</v>
      </c>
    </row>
    <row r="64" spans="1:4" ht="28.8" x14ac:dyDescent="0.3">
      <c r="A64" s="1">
        <v>1</v>
      </c>
      <c r="D64" s="2" t="s">
        <v>675</v>
      </c>
    </row>
    <row r="65" spans="1:4" x14ac:dyDescent="0.3">
      <c r="A65" s="1">
        <v>1</v>
      </c>
      <c r="D65" s="2" t="s">
        <v>676</v>
      </c>
    </row>
  </sheetData>
  <autoFilter ref="A1:E65" xr:uid="{7C7EE88C-8AE6-4386-8A3A-4CCD4CB9AFC2}"/>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AC875-43C6-4B53-A47B-FFF4F09C339C}">
  <sheetPr codeName="Sheet5"/>
  <dimension ref="A1:Z16"/>
  <sheetViews>
    <sheetView workbookViewId="0">
      <pane xSplit="1" ySplit="1" topLeftCell="B2" activePane="bottomRight" state="frozen"/>
      <selection pane="topRight" activeCell="B1" sqref="B1"/>
      <selection pane="bottomLeft" activeCell="A2" sqref="A2"/>
      <selection pane="bottomRight"/>
    </sheetView>
  </sheetViews>
  <sheetFormatPr defaultRowHeight="14.4" x14ac:dyDescent="0.3"/>
  <cols>
    <col min="1" max="1" width="16.33203125" bestFit="1" customWidth="1"/>
    <col min="2" max="2" width="9.5546875" bestFit="1" customWidth="1"/>
    <col min="3" max="3" width="9.5546875" customWidth="1"/>
    <col min="4" max="4" width="6.88671875" bestFit="1" customWidth="1"/>
    <col min="5" max="5" width="10.44140625" bestFit="1" customWidth="1"/>
    <col min="6" max="6" width="13.33203125" bestFit="1" customWidth="1"/>
    <col min="7" max="7" width="15.33203125" customWidth="1"/>
    <col min="8" max="8" width="15.33203125" bestFit="1" customWidth="1"/>
    <col min="9" max="10" width="11.6640625" bestFit="1" customWidth="1"/>
    <col min="11" max="11" width="11.6640625" customWidth="1"/>
  </cols>
  <sheetData>
    <row r="1" spans="1:26" x14ac:dyDescent="0.3">
      <c r="A1" t="s">
        <v>0</v>
      </c>
      <c r="B1" t="s">
        <v>22</v>
      </c>
      <c r="C1" t="s">
        <v>114</v>
      </c>
      <c r="D1" t="s">
        <v>181</v>
      </c>
      <c r="E1" t="s">
        <v>7</v>
      </c>
      <c r="F1" t="s">
        <v>110</v>
      </c>
      <c r="G1" t="s">
        <v>84</v>
      </c>
      <c r="H1" t="s">
        <v>42</v>
      </c>
      <c r="I1" t="s">
        <v>43</v>
      </c>
      <c r="J1" t="s">
        <v>44</v>
      </c>
      <c r="K1" t="s">
        <v>226</v>
      </c>
      <c r="L1" t="s">
        <v>204</v>
      </c>
      <c r="M1" t="s">
        <v>6</v>
      </c>
      <c r="N1" t="s">
        <v>683</v>
      </c>
      <c r="O1" t="s">
        <v>219</v>
      </c>
      <c r="P1" t="s">
        <v>684</v>
      </c>
      <c r="Q1" t="s">
        <v>220</v>
      </c>
      <c r="R1" t="s">
        <v>237</v>
      </c>
      <c r="S1" t="s">
        <v>233</v>
      </c>
      <c r="T1" t="s">
        <v>234</v>
      </c>
      <c r="U1" t="s">
        <v>235</v>
      </c>
      <c r="V1" t="s">
        <v>236</v>
      </c>
      <c r="W1" t="s">
        <v>241</v>
      </c>
      <c r="X1" t="s">
        <v>295</v>
      </c>
      <c r="Y1" t="s">
        <v>652</v>
      </c>
      <c r="Z1" t="s">
        <v>300</v>
      </c>
    </row>
    <row r="2" spans="1:26" x14ac:dyDescent="0.3">
      <c r="A2" t="s">
        <v>8</v>
      </c>
      <c r="B2" t="s">
        <v>177</v>
      </c>
      <c r="C2" t="s">
        <v>335</v>
      </c>
      <c r="D2">
        <v>0</v>
      </c>
      <c r="E2" t="s">
        <v>178</v>
      </c>
      <c r="L2" t="s">
        <v>8</v>
      </c>
      <c r="Y2" t="s">
        <v>653</v>
      </c>
      <c r="Z2" t="s">
        <v>8</v>
      </c>
    </row>
    <row r="3" spans="1:26" x14ac:dyDescent="0.3">
      <c r="A3" t="s">
        <v>23</v>
      </c>
      <c r="B3" t="s">
        <v>19</v>
      </c>
      <c r="C3">
        <v>0</v>
      </c>
      <c r="D3">
        <v>1</v>
      </c>
      <c r="E3" t="s">
        <v>83</v>
      </c>
      <c r="L3" t="s">
        <v>646</v>
      </c>
      <c r="M3">
        <v>1</v>
      </c>
      <c r="N3" t="str">
        <f>"000000"</f>
        <v>000000</v>
      </c>
      <c r="P3" t="str">
        <f>"000000"</f>
        <v>000000</v>
      </c>
      <c r="W3">
        <v>1</v>
      </c>
      <c r="Z3" t="s">
        <v>301</v>
      </c>
    </row>
    <row r="4" spans="1:26" x14ac:dyDescent="0.3">
      <c r="A4" t="s">
        <v>24</v>
      </c>
      <c r="B4" t="s">
        <v>20</v>
      </c>
      <c r="C4" t="s">
        <v>115</v>
      </c>
      <c r="D4">
        <v>1</v>
      </c>
      <c r="E4" t="s">
        <v>83</v>
      </c>
      <c r="L4" t="s">
        <v>647</v>
      </c>
      <c r="O4" t="s">
        <v>221</v>
      </c>
      <c r="Q4">
        <v>1</v>
      </c>
      <c r="Z4" t="s">
        <v>302</v>
      </c>
    </row>
    <row r="5" spans="1:26" x14ac:dyDescent="0.3">
      <c r="A5" t="s">
        <v>25</v>
      </c>
      <c r="B5" t="s">
        <v>21</v>
      </c>
      <c r="C5" t="str">
        <f>""""""</f>
        <v>""</v>
      </c>
      <c r="D5">
        <v>1</v>
      </c>
      <c r="E5" t="s">
        <v>83</v>
      </c>
      <c r="L5" t="s">
        <v>206</v>
      </c>
      <c r="M5">
        <v>1</v>
      </c>
      <c r="O5" t="s">
        <v>221</v>
      </c>
      <c r="X5">
        <v>32</v>
      </c>
      <c r="Z5" t="s">
        <v>303</v>
      </c>
    </row>
    <row r="6" spans="1:26" x14ac:dyDescent="0.3">
      <c r="A6" t="s">
        <v>26</v>
      </c>
      <c r="B6" t="s">
        <v>27</v>
      </c>
      <c r="C6">
        <v>0</v>
      </c>
      <c r="D6">
        <v>1</v>
      </c>
      <c r="E6" t="s">
        <v>83</v>
      </c>
      <c r="L6" t="s">
        <v>209</v>
      </c>
      <c r="M6">
        <v>1</v>
      </c>
      <c r="N6" t="s">
        <v>222</v>
      </c>
      <c r="P6" t="s">
        <v>222</v>
      </c>
      <c r="Z6" t="s">
        <v>304</v>
      </c>
    </row>
    <row r="7" spans="1:26" x14ac:dyDescent="0.3">
      <c r="A7" t="s">
        <v>28</v>
      </c>
      <c r="B7" t="s">
        <v>27</v>
      </c>
      <c r="C7">
        <v>0</v>
      </c>
      <c r="D7">
        <v>1</v>
      </c>
      <c r="E7" t="s">
        <v>83</v>
      </c>
      <c r="L7" t="s">
        <v>210</v>
      </c>
      <c r="M7">
        <v>1</v>
      </c>
      <c r="N7" t="s">
        <v>222</v>
      </c>
      <c r="P7" t="s">
        <v>222</v>
      </c>
      <c r="Z7" t="s">
        <v>305</v>
      </c>
    </row>
    <row r="8" spans="1:26" x14ac:dyDescent="0.3">
      <c r="A8" t="s">
        <v>33</v>
      </c>
      <c r="B8" t="s">
        <v>19</v>
      </c>
      <c r="C8">
        <v>0</v>
      </c>
      <c r="D8">
        <v>1</v>
      </c>
      <c r="E8" t="s">
        <v>83</v>
      </c>
      <c r="L8" t="s">
        <v>208</v>
      </c>
      <c r="O8" t="s">
        <v>386</v>
      </c>
      <c r="R8" t="s">
        <v>9</v>
      </c>
      <c r="S8" t="s">
        <v>33</v>
      </c>
      <c r="T8" t="s">
        <v>33</v>
      </c>
      <c r="U8" t="s">
        <v>0</v>
      </c>
      <c r="V8" t="s">
        <v>394</v>
      </c>
      <c r="Z8" t="s">
        <v>306</v>
      </c>
    </row>
    <row r="9" spans="1:26" x14ac:dyDescent="0.3">
      <c r="A9" t="s">
        <v>36</v>
      </c>
      <c r="B9" t="s">
        <v>21</v>
      </c>
      <c r="C9" t="str">
        <f>""""""</f>
        <v>""</v>
      </c>
      <c r="D9">
        <v>0</v>
      </c>
      <c r="E9" t="s">
        <v>85</v>
      </c>
      <c r="F9" t="s">
        <v>38</v>
      </c>
      <c r="G9" t="s">
        <v>0</v>
      </c>
      <c r="H9" t="s">
        <v>0</v>
      </c>
      <c r="I9" t="s">
        <v>33</v>
      </c>
      <c r="J9" t="s">
        <v>33</v>
      </c>
      <c r="L9" t="s">
        <v>211</v>
      </c>
      <c r="M9">
        <v>1</v>
      </c>
      <c r="X9">
        <v>32</v>
      </c>
      <c r="Z9" t="s">
        <v>307</v>
      </c>
    </row>
    <row r="10" spans="1:26" x14ac:dyDescent="0.3">
      <c r="A10" t="s">
        <v>12</v>
      </c>
      <c r="B10" t="s">
        <v>19</v>
      </c>
      <c r="C10">
        <v>0</v>
      </c>
      <c r="D10">
        <v>1</v>
      </c>
      <c r="E10" t="s">
        <v>83</v>
      </c>
      <c r="L10" t="s">
        <v>212</v>
      </c>
      <c r="O10" t="s">
        <v>386</v>
      </c>
      <c r="R10" t="s">
        <v>179</v>
      </c>
      <c r="S10" t="s">
        <v>12</v>
      </c>
      <c r="T10" t="s">
        <v>12</v>
      </c>
      <c r="U10" t="s">
        <v>0</v>
      </c>
      <c r="V10" t="s">
        <v>395</v>
      </c>
      <c r="Z10" t="s">
        <v>308</v>
      </c>
    </row>
    <row r="11" spans="1:26" x14ac:dyDescent="0.3">
      <c r="A11" t="s">
        <v>35</v>
      </c>
      <c r="B11" t="s">
        <v>21</v>
      </c>
      <c r="C11" t="str">
        <f>""""""</f>
        <v>""</v>
      </c>
      <c r="D11">
        <v>0</v>
      </c>
      <c r="E11" t="s">
        <v>85</v>
      </c>
      <c r="F11" t="s">
        <v>37</v>
      </c>
      <c r="G11" t="s">
        <v>0</v>
      </c>
      <c r="H11" t="s">
        <v>0</v>
      </c>
      <c r="I11" t="s">
        <v>12</v>
      </c>
      <c r="J11" t="s">
        <v>12</v>
      </c>
      <c r="L11" t="s">
        <v>213</v>
      </c>
      <c r="M11">
        <v>1</v>
      </c>
      <c r="Z11" t="s">
        <v>309</v>
      </c>
    </row>
    <row r="12" spans="1:26" x14ac:dyDescent="0.3">
      <c r="A12" t="s">
        <v>31</v>
      </c>
      <c r="B12" t="s">
        <v>30</v>
      </c>
      <c r="C12" t="s">
        <v>116</v>
      </c>
      <c r="D12">
        <v>1</v>
      </c>
      <c r="E12" t="s">
        <v>83</v>
      </c>
      <c r="L12" t="s">
        <v>214</v>
      </c>
      <c r="M12">
        <v>1</v>
      </c>
      <c r="N12" t="s">
        <v>376</v>
      </c>
      <c r="O12" t="s">
        <v>238</v>
      </c>
      <c r="P12" t="s">
        <v>375</v>
      </c>
      <c r="Z12" t="s">
        <v>310</v>
      </c>
    </row>
    <row r="13" spans="1:26" x14ac:dyDescent="0.3">
      <c r="A13" t="s">
        <v>32</v>
      </c>
      <c r="B13" t="s">
        <v>30</v>
      </c>
      <c r="C13" t="s">
        <v>116</v>
      </c>
      <c r="D13">
        <v>1</v>
      </c>
      <c r="E13" t="s">
        <v>83</v>
      </c>
      <c r="L13" t="s">
        <v>215</v>
      </c>
      <c r="M13">
        <v>1</v>
      </c>
      <c r="N13" t="s">
        <v>376</v>
      </c>
      <c r="O13" t="s">
        <v>238</v>
      </c>
      <c r="P13" t="s">
        <v>375</v>
      </c>
      <c r="Z13" t="s">
        <v>311</v>
      </c>
    </row>
    <row r="14" spans="1:26" x14ac:dyDescent="0.3">
      <c r="A14" t="s">
        <v>29</v>
      </c>
      <c r="B14" t="s">
        <v>30</v>
      </c>
      <c r="C14" t="s">
        <v>116</v>
      </c>
      <c r="D14">
        <v>1</v>
      </c>
      <c r="E14" t="s">
        <v>83</v>
      </c>
      <c r="L14" t="s">
        <v>216</v>
      </c>
      <c r="M14">
        <v>1</v>
      </c>
      <c r="N14" t="s">
        <v>376</v>
      </c>
      <c r="O14" t="s">
        <v>238</v>
      </c>
      <c r="P14" t="s">
        <v>375</v>
      </c>
      <c r="Z14" t="s">
        <v>312</v>
      </c>
    </row>
    <row r="15" spans="1:26" x14ac:dyDescent="0.3">
      <c r="A15" t="s">
        <v>34</v>
      </c>
      <c r="B15" t="s">
        <v>19</v>
      </c>
      <c r="C15">
        <v>0</v>
      </c>
      <c r="D15">
        <v>1</v>
      </c>
      <c r="E15" t="s">
        <v>83</v>
      </c>
      <c r="L15" t="s">
        <v>217</v>
      </c>
      <c r="O15" t="s">
        <v>386</v>
      </c>
      <c r="R15" t="s">
        <v>180</v>
      </c>
      <c r="S15" t="s">
        <v>34</v>
      </c>
      <c r="T15" t="s">
        <v>34</v>
      </c>
      <c r="U15" t="s">
        <v>224</v>
      </c>
      <c r="V15" t="s">
        <v>396</v>
      </c>
      <c r="Z15" t="s">
        <v>313</v>
      </c>
    </row>
    <row r="16" spans="1:26" x14ac:dyDescent="0.3">
      <c r="A16" t="s">
        <v>39</v>
      </c>
      <c r="B16" t="s">
        <v>21</v>
      </c>
      <c r="C16" t="str">
        <f>""""""</f>
        <v>""</v>
      </c>
      <c r="D16">
        <v>0</v>
      </c>
      <c r="E16" t="s">
        <v>85</v>
      </c>
      <c r="F16" t="s">
        <v>40</v>
      </c>
      <c r="G16" t="s">
        <v>41</v>
      </c>
      <c r="H16" t="s">
        <v>39</v>
      </c>
      <c r="I16" t="s">
        <v>34</v>
      </c>
      <c r="J16" t="s">
        <v>34</v>
      </c>
      <c r="L16" t="s">
        <v>218</v>
      </c>
      <c r="M16">
        <v>1</v>
      </c>
      <c r="Z16" t="s">
        <v>314</v>
      </c>
    </row>
  </sheetData>
  <sortState xmlns:xlrd2="http://schemas.microsoft.com/office/spreadsheetml/2017/richdata2" ref="A3:J16">
    <sortCondition ref="A3:A1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1F3F3-47D1-4EDD-AC5E-A73034941DDD}">
  <sheetPr codeName="Sheet7"/>
  <dimension ref="A1:Z9"/>
  <sheetViews>
    <sheetView workbookViewId="0">
      <pane xSplit="1" ySplit="1" topLeftCell="B2" activePane="bottomRight" state="frozen"/>
      <selection pane="topRight" activeCell="B1" sqref="B1"/>
      <selection pane="bottomLeft" activeCell="A2" sqref="A2"/>
      <selection pane="bottomRight" activeCell="N2" sqref="N2"/>
    </sheetView>
  </sheetViews>
  <sheetFormatPr defaultRowHeight="14.4" x14ac:dyDescent="0.3"/>
  <cols>
    <col min="1" max="1" width="15" bestFit="1" customWidth="1"/>
  </cols>
  <sheetData>
    <row r="1" spans="1:26" x14ac:dyDescent="0.3">
      <c r="A1" t="s">
        <v>0</v>
      </c>
      <c r="B1" t="s">
        <v>22</v>
      </c>
      <c r="C1" t="s">
        <v>114</v>
      </c>
      <c r="D1" t="s">
        <v>181</v>
      </c>
      <c r="E1" t="s">
        <v>7</v>
      </c>
      <c r="F1" t="s">
        <v>110</v>
      </c>
      <c r="G1" t="s">
        <v>84</v>
      </c>
      <c r="H1" t="s">
        <v>42</v>
      </c>
      <c r="I1" t="s">
        <v>43</v>
      </c>
      <c r="J1" t="s">
        <v>44</v>
      </c>
      <c r="K1" t="s">
        <v>226</v>
      </c>
      <c r="L1" t="s">
        <v>204</v>
      </c>
      <c r="M1" t="s">
        <v>6</v>
      </c>
      <c r="N1" t="s">
        <v>683</v>
      </c>
      <c r="O1" t="s">
        <v>219</v>
      </c>
      <c r="P1" t="s">
        <v>684</v>
      </c>
      <c r="Q1" t="s">
        <v>220</v>
      </c>
      <c r="R1" t="s">
        <v>237</v>
      </c>
      <c r="S1" t="s">
        <v>233</v>
      </c>
      <c r="T1" t="s">
        <v>234</v>
      </c>
      <c r="U1" t="s">
        <v>235</v>
      </c>
      <c r="V1" t="s">
        <v>236</v>
      </c>
      <c r="W1" t="s">
        <v>241</v>
      </c>
      <c r="X1" t="s">
        <v>295</v>
      </c>
      <c r="Y1" t="s">
        <v>652</v>
      </c>
      <c r="Z1" t="s">
        <v>300</v>
      </c>
    </row>
    <row r="2" spans="1:26" x14ac:dyDescent="0.3">
      <c r="A2" t="s">
        <v>9</v>
      </c>
      <c r="B2" t="s">
        <v>177</v>
      </c>
      <c r="C2" t="s">
        <v>335</v>
      </c>
      <c r="D2">
        <v>0</v>
      </c>
      <c r="E2" t="s">
        <v>178</v>
      </c>
      <c r="L2" t="s">
        <v>9</v>
      </c>
      <c r="Y2" t="s">
        <v>654</v>
      </c>
      <c r="Z2" t="s">
        <v>9</v>
      </c>
    </row>
    <row r="3" spans="1:26" x14ac:dyDescent="0.3">
      <c r="A3" t="s">
        <v>33</v>
      </c>
      <c r="B3" t="s">
        <v>19</v>
      </c>
      <c r="C3">
        <v>0</v>
      </c>
      <c r="D3">
        <v>1</v>
      </c>
      <c r="E3" t="s">
        <v>83</v>
      </c>
      <c r="L3" t="s">
        <v>205</v>
      </c>
      <c r="Z3" t="s">
        <v>301</v>
      </c>
    </row>
    <row r="4" spans="1:26" x14ac:dyDescent="0.3">
      <c r="A4" t="s">
        <v>132</v>
      </c>
      <c r="B4" t="s">
        <v>20</v>
      </c>
      <c r="C4" t="s">
        <v>115</v>
      </c>
      <c r="D4">
        <v>1</v>
      </c>
      <c r="E4" t="s">
        <v>83</v>
      </c>
      <c r="L4" t="s">
        <v>207</v>
      </c>
      <c r="O4" t="s">
        <v>221</v>
      </c>
      <c r="Q4">
        <v>1</v>
      </c>
      <c r="Z4" t="s">
        <v>315</v>
      </c>
    </row>
    <row r="5" spans="1:26" x14ac:dyDescent="0.3">
      <c r="A5" t="s">
        <v>0</v>
      </c>
      <c r="B5" t="s">
        <v>21</v>
      </c>
      <c r="C5" t="str">
        <f>""""""</f>
        <v>""</v>
      </c>
      <c r="D5">
        <v>1</v>
      </c>
      <c r="E5" t="s">
        <v>83</v>
      </c>
      <c r="L5" t="s">
        <v>0</v>
      </c>
      <c r="M5">
        <v>1</v>
      </c>
      <c r="O5" t="s">
        <v>221</v>
      </c>
      <c r="W5">
        <v>1</v>
      </c>
      <c r="X5">
        <v>32</v>
      </c>
      <c r="Z5" t="s">
        <v>316</v>
      </c>
    </row>
    <row r="6" spans="1:26" x14ac:dyDescent="0.3">
      <c r="A6" t="s">
        <v>14</v>
      </c>
      <c r="B6" t="s">
        <v>21</v>
      </c>
      <c r="C6" t="str">
        <f>""""""</f>
        <v>""</v>
      </c>
      <c r="D6">
        <v>1</v>
      </c>
      <c r="E6" t="s">
        <v>83</v>
      </c>
      <c r="L6" t="s">
        <v>14</v>
      </c>
      <c r="O6" t="s">
        <v>221</v>
      </c>
      <c r="X6">
        <v>255</v>
      </c>
      <c r="Z6" t="s">
        <v>317</v>
      </c>
    </row>
    <row r="7" spans="1:26" x14ac:dyDescent="0.3">
      <c r="A7" t="s">
        <v>15</v>
      </c>
      <c r="B7" t="s">
        <v>21</v>
      </c>
      <c r="C7" t="str">
        <f>""""""</f>
        <v>""</v>
      </c>
      <c r="D7">
        <v>1</v>
      </c>
      <c r="E7" t="s">
        <v>83</v>
      </c>
      <c r="L7" t="s">
        <v>15</v>
      </c>
      <c r="M7">
        <v>1</v>
      </c>
      <c r="O7" t="s">
        <v>221</v>
      </c>
      <c r="X7">
        <v>32</v>
      </c>
      <c r="Z7" t="s">
        <v>318</v>
      </c>
    </row>
    <row r="8" spans="1:26" x14ac:dyDescent="0.3">
      <c r="A8" t="s">
        <v>16</v>
      </c>
      <c r="B8" t="s">
        <v>21</v>
      </c>
      <c r="C8" t="str">
        <f>""""""</f>
        <v>""</v>
      </c>
      <c r="D8">
        <v>1</v>
      </c>
      <c r="E8" t="s">
        <v>83</v>
      </c>
      <c r="L8" t="s">
        <v>16</v>
      </c>
      <c r="O8" t="s">
        <v>221</v>
      </c>
      <c r="X8">
        <v>2</v>
      </c>
      <c r="Z8" t="s">
        <v>319</v>
      </c>
    </row>
    <row r="9" spans="1:26" x14ac:dyDescent="0.3">
      <c r="A9" t="s">
        <v>17</v>
      </c>
      <c r="B9" t="s">
        <v>21</v>
      </c>
      <c r="C9" t="str">
        <f>""""""</f>
        <v>""</v>
      </c>
      <c r="D9">
        <v>1</v>
      </c>
      <c r="E9" t="s">
        <v>83</v>
      </c>
      <c r="L9" t="s">
        <v>223</v>
      </c>
      <c r="O9" t="s">
        <v>221</v>
      </c>
      <c r="X9">
        <v>16</v>
      </c>
      <c r="Z9" t="s">
        <v>320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D4DC8-A781-4371-A021-906EC0F5B3AE}">
  <sheetPr codeName="Sheet6"/>
  <dimension ref="A1:Z10"/>
  <sheetViews>
    <sheetView workbookViewId="0">
      <pane xSplit="1" ySplit="1" topLeftCell="C2" activePane="bottomRight" state="frozen"/>
      <selection pane="topRight" activeCell="B1" sqref="B1"/>
      <selection pane="bottomLeft" activeCell="A2" sqref="A2"/>
      <selection pane="bottomRight" activeCell="Q1" sqref="Q1"/>
    </sheetView>
  </sheetViews>
  <sheetFormatPr defaultRowHeight="14.4" x14ac:dyDescent="0.3"/>
  <cols>
    <col min="1" max="1" width="15" bestFit="1" customWidth="1"/>
  </cols>
  <sheetData>
    <row r="1" spans="1:26" x14ac:dyDescent="0.3">
      <c r="A1" t="s">
        <v>0</v>
      </c>
      <c r="B1" t="s">
        <v>22</v>
      </c>
      <c r="C1" t="s">
        <v>114</v>
      </c>
      <c r="D1" t="s">
        <v>181</v>
      </c>
      <c r="E1" t="s">
        <v>7</v>
      </c>
      <c r="F1" t="s">
        <v>110</v>
      </c>
      <c r="G1" t="s">
        <v>84</v>
      </c>
      <c r="H1" t="s">
        <v>42</v>
      </c>
      <c r="I1" t="s">
        <v>43</v>
      </c>
      <c r="J1" t="s">
        <v>44</v>
      </c>
      <c r="K1" t="s">
        <v>226</v>
      </c>
      <c r="L1" t="s">
        <v>204</v>
      </c>
      <c r="M1" t="s">
        <v>6</v>
      </c>
      <c r="N1" t="s">
        <v>683</v>
      </c>
      <c r="O1" t="s">
        <v>219</v>
      </c>
      <c r="P1" t="s">
        <v>684</v>
      </c>
      <c r="Q1" t="s">
        <v>220</v>
      </c>
      <c r="R1" t="s">
        <v>237</v>
      </c>
      <c r="S1" t="s">
        <v>233</v>
      </c>
      <c r="T1" t="s">
        <v>234</v>
      </c>
      <c r="U1" t="s">
        <v>235</v>
      </c>
      <c r="V1" t="s">
        <v>236</v>
      </c>
      <c r="W1" t="s">
        <v>241</v>
      </c>
      <c r="X1" t="s">
        <v>295</v>
      </c>
      <c r="Y1" t="s">
        <v>652</v>
      </c>
      <c r="Z1" t="s">
        <v>300</v>
      </c>
    </row>
    <row r="2" spans="1:26" x14ac:dyDescent="0.3">
      <c r="A2" t="s">
        <v>179</v>
      </c>
      <c r="B2" t="s">
        <v>177</v>
      </c>
      <c r="C2" t="s">
        <v>335</v>
      </c>
      <c r="D2">
        <v>0</v>
      </c>
      <c r="E2" t="s">
        <v>178</v>
      </c>
      <c r="L2" t="s">
        <v>179</v>
      </c>
      <c r="Y2" t="s">
        <v>655</v>
      </c>
      <c r="Z2" t="s">
        <v>179</v>
      </c>
    </row>
    <row r="3" spans="1:26" x14ac:dyDescent="0.3">
      <c r="A3" t="s">
        <v>12</v>
      </c>
      <c r="B3" t="s">
        <v>19</v>
      </c>
      <c r="C3">
        <v>0</v>
      </c>
      <c r="D3">
        <v>1</v>
      </c>
      <c r="E3" t="s">
        <v>83</v>
      </c>
      <c r="L3" t="s">
        <v>212</v>
      </c>
      <c r="Z3" t="s">
        <v>301</v>
      </c>
    </row>
    <row r="4" spans="1:26" x14ac:dyDescent="0.3">
      <c r="A4" t="s">
        <v>13</v>
      </c>
      <c r="B4" t="s">
        <v>20</v>
      </c>
      <c r="C4" t="s">
        <v>115</v>
      </c>
      <c r="D4">
        <v>1</v>
      </c>
      <c r="E4" t="s">
        <v>83</v>
      </c>
      <c r="L4" t="s">
        <v>648</v>
      </c>
      <c r="O4" t="s">
        <v>221</v>
      </c>
      <c r="Q4">
        <v>1</v>
      </c>
      <c r="Z4" t="s">
        <v>315</v>
      </c>
    </row>
    <row r="5" spans="1:26" x14ac:dyDescent="0.3">
      <c r="A5" t="s">
        <v>0</v>
      </c>
      <c r="B5" t="s">
        <v>21</v>
      </c>
      <c r="C5" t="str">
        <f t="shared" ref="C5:C10" si="0">""""""</f>
        <v>""</v>
      </c>
      <c r="D5">
        <v>1</v>
      </c>
      <c r="E5" t="s">
        <v>83</v>
      </c>
      <c r="L5" t="s">
        <v>0</v>
      </c>
      <c r="M5">
        <v>1</v>
      </c>
      <c r="O5" t="s">
        <v>221</v>
      </c>
      <c r="W5">
        <v>1</v>
      </c>
      <c r="X5">
        <v>32</v>
      </c>
      <c r="Z5" t="s">
        <v>321</v>
      </c>
    </row>
    <row r="6" spans="1:26" x14ac:dyDescent="0.3">
      <c r="A6" t="s">
        <v>14</v>
      </c>
      <c r="B6" t="s">
        <v>21</v>
      </c>
      <c r="C6" t="str">
        <f t="shared" si="0"/>
        <v>""</v>
      </c>
      <c r="D6">
        <v>1</v>
      </c>
      <c r="E6" t="s">
        <v>83</v>
      </c>
      <c r="L6" t="s">
        <v>14</v>
      </c>
      <c r="M6">
        <v>1</v>
      </c>
      <c r="O6" t="s">
        <v>221</v>
      </c>
      <c r="X6">
        <v>255</v>
      </c>
      <c r="Z6" t="s">
        <v>322</v>
      </c>
    </row>
    <row r="7" spans="1:26" x14ac:dyDescent="0.3">
      <c r="A7" t="s">
        <v>15</v>
      </c>
      <c r="B7" t="s">
        <v>21</v>
      </c>
      <c r="C7" t="str">
        <f t="shared" si="0"/>
        <v>""</v>
      </c>
      <c r="D7">
        <v>1</v>
      </c>
      <c r="E7" t="s">
        <v>83</v>
      </c>
      <c r="L7" t="s">
        <v>15</v>
      </c>
      <c r="M7">
        <v>1</v>
      </c>
      <c r="O7" t="s">
        <v>221</v>
      </c>
      <c r="X7">
        <v>32</v>
      </c>
      <c r="Z7" t="s">
        <v>323</v>
      </c>
    </row>
    <row r="8" spans="1:26" x14ac:dyDescent="0.3">
      <c r="A8" t="s">
        <v>16</v>
      </c>
      <c r="B8" t="s">
        <v>21</v>
      </c>
      <c r="C8" t="str">
        <f t="shared" si="0"/>
        <v>""</v>
      </c>
      <c r="D8">
        <v>1</v>
      </c>
      <c r="E8" t="s">
        <v>83</v>
      </c>
      <c r="L8" t="s">
        <v>16</v>
      </c>
      <c r="O8" t="s">
        <v>221</v>
      </c>
      <c r="X8">
        <v>2</v>
      </c>
      <c r="Z8" t="s">
        <v>326</v>
      </c>
    </row>
    <row r="9" spans="1:26" x14ac:dyDescent="0.3">
      <c r="A9" t="s">
        <v>17</v>
      </c>
      <c r="B9" t="s">
        <v>21</v>
      </c>
      <c r="C9" t="str">
        <f t="shared" si="0"/>
        <v>""</v>
      </c>
      <c r="D9">
        <v>1</v>
      </c>
      <c r="E9" t="s">
        <v>83</v>
      </c>
      <c r="L9" t="s">
        <v>223</v>
      </c>
      <c r="M9">
        <v>1</v>
      </c>
      <c r="O9" t="s">
        <v>221</v>
      </c>
      <c r="X9">
        <v>16</v>
      </c>
      <c r="Z9" t="s">
        <v>324</v>
      </c>
    </row>
    <row r="10" spans="1:26" x14ac:dyDescent="0.3">
      <c r="A10" t="s">
        <v>18</v>
      </c>
      <c r="B10" t="s">
        <v>21</v>
      </c>
      <c r="C10" t="str">
        <f t="shared" si="0"/>
        <v>""</v>
      </c>
      <c r="D10">
        <v>1</v>
      </c>
      <c r="E10" t="s">
        <v>83</v>
      </c>
      <c r="L10" t="s">
        <v>18</v>
      </c>
      <c r="O10" t="s">
        <v>221</v>
      </c>
      <c r="X10">
        <v>12</v>
      </c>
      <c r="Z10" t="s">
        <v>325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61674-2228-4D1C-AA5A-6AB3E16C7688}">
  <sheetPr codeName="Sheet8"/>
  <dimension ref="A1:Z11"/>
  <sheetViews>
    <sheetView workbookViewId="0">
      <pane xSplit="1" ySplit="1" topLeftCell="C2" activePane="bottomRight" state="frozen"/>
      <selection pane="topRight" activeCell="B1" sqref="B1"/>
      <selection pane="bottomLeft" activeCell="A2" sqref="A2"/>
      <selection pane="bottomRight" activeCell="Q1" sqref="Q1"/>
    </sheetView>
  </sheetViews>
  <sheetFormatPr defaultRowHeight="14.4" x14ac:dyDescent="0.3"/>
  <cols>
    <col min="1" max="1" width="15" bestFit="1" customWidth="1"/>
  </cols>
  <sheetData>
    <row r="1" spans="1:26" x14ac:dyDescent="0.3">
      <c r="A1" t="s">
        <v>0</v>
      </c>
      <c r="B1" t="s">
        <v>22</v>
      </c>
      <c r="C1" t="s">
        <v>114</v>
      </c>
      <c r="D1" t="s">
        <v>181</v>
      </c>
      <c r="E1" t="s">
        <v>7</v>
      </c>
      <c r="F1" t="s">
        <v>110</v>
      </c>
      <c r="G1" t="s">
        <v>84</v>
      </c>
      <c r="H1" t="s">
        <v>42</v>
      </c>
      <c r="I1" t="s">
        <v>43</v>
      </c>
      <c r="J1" t="s">
        <v>44</v>
      </c>
      <c r="K1" t="s">
        <v>226</v>
      </c>
      <c r="L1" t="s">
        <v>204</v>
      </c>
      <c r="M1" t="s">
        <v>6</v>
      </c>
      <c r="N1" t="s">
        <v>683</v>
      </c>
      <c r="O1" t="s">
        <v>219</v>
      </c>
      <c r="P1" t="s">
        <v>684</v>
      </c>
      <c r="Q1" t="s">
        <v>220</v>
      </c>
      <c r="R1" t="s">
        <v>237</v>
      </c>
      <c r="S1" t="s">
        <v>233</v>
      </c>
      <c r="T1" t="s">
        <v>234</v>
      </c>
      <c r="U1" t="s">
        <v>235</v>
      </c>
      <c r="V1" t="s">
        <v>236</v>
      </c>
      <c r="W1" t="s">
        <v>241</v>
      </c>
      <c r="X1" t="s">
        <v>295</v>
      </c>
      <c r="Y1" t="s">
        <v>652</v>
      </c>
      <c r="Z1" t="s">
        <v>300</v>
      </c>
    </row>
    <row r="2" spans="1:26" x14ac:dyDescent="0.3">
      <c r="A2" t="s">
        <v>180</v>
      </c>
      <c r="B2" t="s">
        <v>177</v>
      </c>
      <c r="C2" t="s">
        <v>335</v>
      </c>
      <c r="D2">
        <v>0</v>
      </c>
      <c r="E2" t="s">
        <v>178</v>
      </c>
      <c r="L2" t="s">
        <v>180</v>
      </c>
      <c r="Y2" t="s">
        <v>656</v>
      </c>
      <c r="Z2" t="s">
        <v>180</v>
      </c>
    </row>
    <row r="3" spans="1:26" x14ac:dyDescent="0.3">
      <c r="A3" t="s">
        <v>224</v>
      </c>
      <c r="B3" t="s">
        <v>21</v>
      </c>
      <c r="C3" t="s">
        <v>225</v>
      </c>
      <c r="D3">
        <v>0</v>
      </c>
      <c r="E3" t="s">
        <v>372</v>
      </c>
      <c r="K3" t="s">
        <v>227</v>
      </c>
      <c r="L3" t="s">
        <v>228</v>
      </c>
      <c r="M3">
        <v>1</v>
      </c>
      <c r="W3">
        <v>1</v>
      </c>
      <c r="Z3" t="s">
        <v>327</v>
      </c>
    </row>
    <row r="4" spans="1:26" x14ac:dyDescent="0.3">
      <c r="A4" t="s">
        <v>34</v>
      </c>
      <c r="B4" t="s">
        <v>19</v>
      </c>
      <c r="C4">
        <v>0</v>
      </c>
      <c r="D4">
        <v>1</v>
      </c>
      <c r="E4" t="s">
        <v>83</v>
      </c>
      <c r="L4" t="s">
        <v>205</v>
      </c>
      <c r="Z4" t="s">
        <v>301</v>
      </c>
    </row>
    <row r="5" spans="1:26" x14ac:dyDescent="0.3">
      <c r="A5" t="s">
        <v>133</v>
      </c>
      <c r="B5" t="s">
        <v>20</v>
      </c>
      <c r="C5" t="s">
        <v>115</v>
      </c>
      <c r="D5">
        <v>1</v>
      </c>
      <c r="E5" t="s">
        <v>83</v>
      </c>
      <c r="L5" t="s">
        <v>207</v>
      </c>
      <c r="O5" t="s">
        <v>221</v>
      </c>
      <c r="Q5">
        <v>1</v>
      </c>
      <c r="Z5" t="s">
        <v>315</v>
      </c>
    </row>
    <row r="6" spans="1:26" x14ac:dyDescent="0.3">
      <c r="A6" t="s">
        <v>10</v>
      </c>
      <c r="B6" t="s">
        <v>21</v>
      </c>
      <c r="C6" t="str">
        <f>""""""</f>
        <v>""</v>
      </c>
      <c r="D6">
        <v>1</v>
      </c>
      <c r="E6" t="s">
        <v>83</v>
      </c>
      <c r="L6" t="s">
        <v>229</v>
      </c>
      <c r="O6" t="s">
        <v>221</v>
      </c>
      <c r="V6" t="s">
        <v>239</v>
      </c>
      <c r="X6">
        <v>32</v>
      </c>
      <c r="Z6" t="s">
        <v>328</v>
      </c>
    </row>
    <row r="7" spans="1:26" x14ac:dyDescent="0.3">
      <c r="A7" t="s">
        <v>11</v>
      </c>
      <c r="B7" t="s">
        <v>21</v>
      </c>
      <c r="C7" t="str">
        <f>""""""</f>
        <v>""</v>
      </c>
      <c r="D7">
        <v>1</v>
      </c>
      <c r="E7" t="s">
        <v>83</v>
      </c>
      <c r="L7" t="s">
        <v>230</v>
      </c>
      <c r="O7" t="s">
        <v>221</v>
      </c>
      <c r="V7" t="s">
        <v>239</v>
      </c>
      <c r="X7">
        <v>32</v>
      </c>
      <c r="Z7" t="s">
        <v>329</v>
      </c>
    </row>
    <row r="8" spans="1:26" x14ac:dyDescent="0.3">
      <c r="A8" t="s">
        <v>134</v>
      </c>
      <c r="B8" t="s">
        <v>30</v>
      </c>
      <c r="C8" t="s">
        <v>116</v>
      </c>
      <c r="D8">
        <v>1</v>
      </c>
      <c r="E8" t="s">
        <v>83</v>
      </c>
      <c r="L8" t="s">
        <v>231</v>
      </c>
      <c r="M8">
        <v>1</v>
      </c>
      <c r="N8" t="s">
        <v>376</v>
      </c>
      <c r="O8" t="s">
        <v>238</v>
      </c>
      <c r="P8" t="s">
        <v>375</v>
      </c>
      <c r="Z8" t="s">
        <v>330</v>
      </c>
    </row>
    <row r="9" spans="1:26" x14ac:dyDescent="0.3">
      <c r="A9" t="s">
        <v>135</v>
      </c>
      <c r="B9" t="s">
        <v>30</v>
      </c>
      <c r="C9" t="s">
        <v>116</v>
      </c>
      <c r="D9">
        <v>1</v>
      </c>
      <c r="E9" t="s">
        <v>83</v>
      </c>
      <c r="L9" t="s">
        <v>232</v>
      </c>
      <c r="M9">
        <v>1</v>
      </c>
      <c r="N9" t="s">
        <v>376</v>
      </c>
      <c r="O9" t="s">
        <v>238</v>
      </c>
      <c r="P9" t="s">
        <v>375</v>
      </c>
      <c r="Z9" t="s">
        <v>331</v>
      </c>
    </row>
    <row r="10" spans="1:26" x14ac:dyDescent="0.3">
      <c r="A10" t="s">
        <v>136</v>
      </c>
      <c r="B10" t="s">
        <v>21</v>
      </c>
      <c r="C10" t="str">
        <f>""""""</f>
        <v>""</v>
      </c>
      <c r="D10">
        <v>1</v>
      </c>
      <c r="E10" t="s">
        <v>83</v>
      </c>
      <c r="L10" t="s">
        <v>136</v>
      </c>
      <c r="M10">
        <v>1</v>
      </c>
      <c r="O10" t="s">
        <v>221</v>
      </c>
      <c r="X10">
        <v>255</v>
      </c>
      <c r="Z10" t="s">
        <v>332</v>
      </c>
    </row>
    <row r="11" spans="1:26" x14ac:dyDescent="0.3">
      <c r="A11" t="s">
        <v>18</v>
      </c>
      <c r="B11" t="s">
        <v>21</v>
      </c>
      <c r="C11" t="str">
        <f>""""""</f>
        <v>""</v>
      </c>
      <c r="D11">
        <v>1</v>
      </c>
      <c r="E11" t="s">
        <v>83</v>
      </c>
      <c r="L11" t="s">
        <v>18</v>
      </c>
      <c r="X11">
        <v>16</v>
      </c>
      <c r="Z11" t="s">
        <v>333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115-0B6B-4BD9-8752-5BB918B3824D}">
  <sheetPr codeName="Sheet1"/>
  <dimension ref="A1:K8"/>
  <sheetViews>
    <sheetView tabSelected="1" workbookViewId="0">
      <pane ySplit="1" topLeftCell="A2" activePane="bottomLeft" state="frozen"/>
      <selection pane="bottomLeft"/>
    </sheetView>
  </sheetViews>
  <sheetFormatPr defaultRowHeight="14.4" x14ac:dyDescent="0.3"/>
  <cols>
    <col min="2" max="2" width="39.88671875" bestFit="1" customWidth="1"/>
    <col min="3" max="3" width="10.6640625" bestFit="1" customWidth="1"/>
    <col min="7" max="7" width="15.88671875" bestFit="1" customWidth="1"/>
    <col min="8" max="8" width="11.109375" bestFit="1" customWidth="1"/>
    <col min="9" max="9" width="15.88671875" bestFit="1" customWidth="1"/>
    <col min="11" max="11" width="11.6640625" bestFit="1" customWidth="1"/>
  </cols>
  <sheetData>
    <row r="1" spans="1:11" x14ac:dyDescent="0.3">
      <c r="A1" t="s">
        <v>23</v>
      </c>
      <c r="B1" t="s">
        <v>24</v>
      </c>
      <c r="C1" t="s">
        <v>12</v>
      </c>
      <c r="D1" t="s">
        <v>25</v>
      </c>
      <c r="E1" t="s">
        <v>26</v>
      </c>
      <c r="F1" t="s">
        <v>28</v>
      </c>
      <c r="G1" t="s">
        <v>29</v>
      </c>
      <c r="H1" t="s">
        <v>31</v>
      </c>
      <c r="I1" t="s">
        <v>32</v>
      </c>
      <c r="J1" t="s">
        <v>33</v>
      </c>
      <c r="K1" t="s">
        <v>34</v>
      </c>
    </row>
    <row r="2" spans="1:11" x14ac:dyDescent="0.3">
      <c r="A2">
        <v>1</v>
      </c>
      <c r="B2" t="s">
        <v>397</v>
      </c>
      <c r="C2">
        <v>8</v>
      </c>
      <c r="D2" t="s">
        <v>81</v>
      </c>
      <c r="E2">
        <v>4887.54</v>
      </c>
      <c r="F2">
        <v>4887.54</v>
      </c>
      <c r="G2" s="3">
        <v>37180</v>
      </c>
      <c r="H2" t="s">
        <v>398</v>
      </c>
      <c r="I2" s="3">
        <v>43095</v>
      </c>
      <c r="J2">
        <v>1</v>
      </c>
      <c r="K2">
        <v>5</v>
      </c>
    </row>
    <row r="3" spans="1:11" x14ac:dyDescent="0.3">
      <c r="A3">
        <v>2</v>
      </c>
      <c r="B3" t="s">
        <v>399</v>
      </c>
      <c r="C3">
        <v>15</v>
      </c>
      <c r="D3" t="s">
        <v>81</v>
      </c>
      <c r="E3">
        <v>17425.66</v>
      </c>
      <c r="F3">
        <v>17425.66</v>
      </c>
      <c r="G3" s="3">
        <v>30389</v>
      </c>
      <c r="H3" t="s">
        <v>398</v>
      </c>
      <c r="I3" s="3">
        <v>32900</v>
      </c>
      <c r="J3">
        <v>4</v>
      </c>
      <c r="K3">
        <v>2</v>
      </c>
    </row>
    <row r="4" spans="1:11" x14ac:dyDescent="0.3">
      <c r="A4">
        <v>3</v>
      </c>
      <c r="B4" t="s">
        <v>400</v>
      </c>
      <c r="C4">
        <v>18</v>
      </c>
      <c r="D4" t="s">
        <v>81</v>
      </c>
      <c r="E4">
        <v>19988.78</v>
      </c>
      <c r="F4">
        <v>8643.23</v>
      </c>
      <c r="G4" s="3">
        <v>29785</v>
      </c>
      <c r="H4" t="s">
        <v>398</v>
      </c>
      <c r="I4" s="3">
        <v>34660</v>
      </c>
      <c r="J4">
        <v>4</v>
      </c>
      <c r="K4">
        <v>4</v>
      </c>
    </row>
    <row r="5" spans="1:11" x14ac:dyDescent="0.3">
      <c r="A5">
        <v>4</v>
      </c>
      <c r="B5" t="s">
        <v>401</v>
      </c>
      <c r="C5">
        <v>2</v>
      </c>
      <c r="D5" t="s">
        <v>81</v>
      </c>
      <c r="E5">
        <v>8561.6200000000008</v>
      </c>
      <c r="F5">
        <v>8561.6200000000008</v>
      </c>
      <c r="G5" s="3">
        <v>40569</v>
      </c>
      <c r="H5" t="s">
        <v>398</v>
      </c>
      <c r="I5" s="3">
        <v>40951</v>
      </c>
      <c r="J5">
        <v>1</v>
      </c>
      <c r="K5">
        <v>4</v>
      </c>
    </row>
    <row r="6" spans="1:11" x14ac:dyDescent="0.3">
      <c r="A6">
        <v>5</v>
      </c>
      <c r="B6" t="s">
        <v>402</v>
      </c>
      <c r="C6">
        <v>9</v>
      </c>
      <c r="D6" t="s">
        <v>81</v>
      </c>
      <c r="E6">
        <v>23698.240000000002</v>
      </c>
      <c r="F6">
        <v>23698.240000000002</v>
      </c>
      <c r="G6" s="3">
        <v>35628</v>
      </c>
      <c r="H6" t="s">
        <v>398</v>
      </c>
      <c r="I6" s="3">
        <v>40793</v>
      </c>
      <c r="J6">
        <v>1</v>
      </c>
      <c r="K6">
        <v>2</v>
      </c>
    </row>
    <row r="7" spans="1:11" x14ac:dyDescent="0.3">
      <c r="A7">
        <v>6</v>
      </c>
      <c r="B7" t="s">
        <v>403</v>
      </c>
      <c r="C7">
        <v>5</v>
      </c>
      <c r="D7" t="s">
        <v>81</v>
      </c>
      <c r="E7">
        <v>24205.64</v>
      </c>
      <c r="F7">
        <v>24205.64</v>
      </c>
      <c r="G7" s="3">
        <v>30670</v>
      </c>
      <c r="H7" t="s">
        <v>398</v>
      </c>
      <c r="I7" s="3">
        <v>32222</v>
      </c>
      <c r="J7">
        <v>3</v>
      </c>
      <c r="K7">
        <v>2</v>
      </c>
    </row>
    <row r="8" spans="1:11" x14ac:dyDescent="0.3">
      <c r="A8">
        <v>7</v>
      </c>
      <c r="B8" t="s">
        <v>404</v>
      </c>
      <c r="C8">
        <v>8</v>
      </c>
      <c r="D8" t="s">
        <v>81</v>
      </c>
      <c r="E8">
        <v>852.13</v>
      </c>
      <c r="F8">
        <v>1310.49</v>
      </c>
      <c r="G8" s="3">
        <v>39796</v>
      </c>
      <c r="H8" t="s">
        <v>398</v>
      </c>
      <c r="I8" s="3">
        <v>42650</v>
      </c>
      <c r="J8">
        <v>4</v>
      </c>
      <c r="K8">
        <v>4</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D7752-9822-47EA-80FB-BAFAC171E5BA}">
  <sheetPr codeName="Sheet3"/>
  <dimension ref="A1:G5"/>
  <sheetViews>
    <sheetView workbookViewId="0">
      <pane ySplit="1" topLeftCell="A2" activePane="bottomLeft" state="frozen"/>
      <selection pane="bottomLeft" activeCell="G2" sqref="G2"/>
    </sheetView>
  </sheetViews>
  <sheetFormatPr defaultRowHeight="14.4" x14ac:dyDescent="0.3"/>
  <cols>
    <col min="2" max="2" width="38.5546875" bestFit="1" customWidth="1"/>
    <col min="3" max="3" width="6.33203125" bestFit="1" customWidth="1"/>
    <col min="4" max="4" width="22.6640625" bestFit="1" customWidth="1"/>
    <col min="5" max="5" width="10.109375" bestFit="1" customWidth="1"/>
  </cols>
  <sheetData>
    <row r="1" spans="1:7" x14ac:dyDescent="0.3">
      <c r="A1" t="s">
        <v>33</v>
      </c>
      <c r="B1" t="s">
        <v>132</v>
      </c>
      <c r="C1" t="s">
        <v>0</v>
      </c>
      <c r="D1" t="s">
        <v>14</v>
      </c>
      <c r="E1" t="s">
        <v>15</v>
      </c>
      <c r="F1" t="s">
        <v>16</v>
      </c>
      <c r="G1" t="s">
        <v>17</v>
      </c>
    </row>
    <row r="2" spans="1:7" x14ac:dyDescent="0.3">
      <c r="A2">
        <v>1</v>
      </c>
      <c r="B2" s="4" t="s">
        <v>405</v>
      </c>
      <c r="C2" t="s">
        <v>406</v>
      </c>
      <c r="D2" t="s">
        <v>407</v>
      </c>
      <c r="E2" t="s">
        <v>408</v>
      </c>
      <c r="F2" t="s">
        <v>409</v>
      </c>
      <c r="G2">
        <v>53704</v>
      </c>
    </row>
    <row r="3" spans="1:7" x14ac:dyDescent="0.3">
      <c r="A3">
        <v>2</v>
      </c>
      <c r="B3" t="s">
        <v>410</v>
      </c>
      <c r="C3" t="s">
        <v>411</v>
      </c>
      <c r="D3" t="s">
        <v>412</v>
      </c>
      <c r="E3" t="s">
        <v>413</v>
      </c>
      <c r="F3" t="s">
        <v>414</v>
      </c>
      <c r="G3">
        <v>37214</v>
      </c>
    </row>
    <row r="4" spans="1:7" x14ac:dyDescent="0.3">
      <c r="A4">
        <v>3</v>
      </c>
      <c r="B4" t="s">
        <v>415</v>
      </c>
      <c r="C4" t="s">
        <v>416</v>
      </c>
      <c r="D4" t="s">
        <v>417</v>
      </c>
      <c r="E4" t="s">
        <v>418</v>
      </c>
      <c r="F4" t="s">
        <v>419</v>
      </c>
      <c r="G4">
        <v>15212</v>
      </c>
    </row>
    <row r="5" spans="1:7" x14ac:dyDescent="0.3">
      <c r="A5">
        <v>4</v>
      </c>
      <c r="B5" t="s">
        <v>420</v>
      </c>
      <c r="C5" t="s">
        <v>421</v>
      </c>
      <c r="D5" t="s">
        <v>422</v>
      </c>
      <c r="E5" t="s">
        <v>423</v>
      </c>
      <c r="F5" t="s">
        <v>424</v>
      </c>
      <c r="G5">
        <v>33166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88534-C439-4527-BC6C-D278DD68CD0C}">
  <sheetPr codeName="Sheet12"/>
  <dimension ref="A1:H19"/>
  <sheetViews>
    <sheetView workbookViewId="0">
      <pane ySplit="1" topLeftCell="A5" activePane="bottomLeft" state="frozen"/>
      <selection pane="bottomLeft" activeCell="A16" sqref="A16"/>
    </sheetView>
  </sheetViews>
  <sheetFormatPr defaultRowHeight="14.4" x14ac:dyDescent="0.3"/>
  <cols>
    <col min="2" max="2" width="39.44140625" bestFit="1" customWidth="1"/>
    <col min="3" max="3" width="23.33203125" bestFit="1" customWidth="1"/>
    <col min="4" max="4" width="26.5546875" bestFit="1" customWidth="1"/>
    <col min="5" max="5" width="12.6640625" bestFit="1" customWidth="1"/>
    <col min="7" max="7" width="8.33203125" bestFit="1" customWidth="1"/>
    <col min="8" max="8" width="10.6640625" bestFit="1" customWidth="1"/>
  </cols>
  <sheetData>
    <row r="1" spans="1:8" x14ac:dyDescent="0.3">
      <c r="A1" t="s">
        <v>12</v>
      </c>
      <c r="B1" t="s">
        <v>13</v>
      </c>
      <c r="C1" t="s">
        <v>0</v>
      </c>
      <c r="D1" t="s">
        <v>14</v>
      </c>
      <c r="E1" t="s">
        <v>15</v>
      </c>
      <c r="F1" t="s">
        <v>16</v>
      </c>
      <c r="G1" t="s">
        <v>17</v>
      </c>
      <c r="H1" t="s">
        <v>18</v>
      </c>
    </row>
    <row r="2" spans="1:8" x14ac:dyDescent="0.3">
      <c r="A2">
        <v>1</v>
      </c>
      <c r="B2" t="s">
        <v>425</v>
      </c>
      <c r="C2" t="s">
        <v>426</v>
      </c>
      <c r="D2" t="s">
        <v>427</v>
      </c>
      <c r="E2" t="s">
        <v>428</v>
      </c>
      <c r="F2" t="s">
        <v>429</v>
      </c>
      <c r="G2">
        <v>90248</v>
      </c>
      <c r="H2" t="s">
        <v>430</v>
      </c>
    </row>
    <row r="3" spans="1:8" x14ac:dyDescent="0.3">
      <c r="A3">
        <v>2</v>
      </c>
      <c r="B3" t="s">
        <v>431</v>
      </c>
      <c r="C3" t="s">
        <v>432</v>
      </c>
      <c r="D3" t="s">
        <v>433</v>
      </c>
      <c r="E3" t="s">
        <v>434</v>
      </c>
      <c r="F3" t="s">
        <v>435</v>
      </c>
      <c r="G3">
        <v>10013</v>
      </c>
      <c r="H3" t="s">
        <v>436</v>
      </c>
    </row>
    <row r="4" spans="1:8" x14ac:dyDescent="0.3">
      <c r="A4">
        <v>3</v>
      </c>
      <c r="B4" t="s">
        <v>437</v>
      </c>
      <c r="C4" t="s">
        <v>438</v>
      </c>
      <c r="D4" t="s">
        <v>439</v>
      </c>
      <c r="E4" t="s">
        <v>440</v>
      </c>
      <c r="F4" t="s">
        <v>441</v>
      </c>
      <c r="G4">
        <v>87102</v>
      </c>
      <c r="H4" t="s">
        <v>442</v>
      </c>
    </row>
    <row r="5" spans="1:8" x14ac:dyDescent="0.3">
      <c r="A5">
        <v>4</v>
      </c>
      <c r="B5" t="s">
        <v>443</v>
      </c>
      <c r="C5" t="s">
        <v>444</v>
      </c>
      <c r="D5" t="s">
        <v>445</v>
      </c>
      <c r="E5" t="s">
        <v>446</v>
      </c>
      <c r="F5" t="s">
        <v>447</v>
      </c>
      <c r="G5">
        <v>60173</v>
      </c>
      <c r="H5" t="s">
        <v>448</v>
      </c>
    </row>
    <row r="6" spans="1:8" x14ac:dyDescent="0.3">
      <c r="A6">
        <v>5</v>
      </c>
      <c r="B6" t="s">
        <v>449</v>
      </c>
      <c r="C6" t="s">
        <v>450</v>
      </c>
      <c r="D6" t="s">
        <v>451</v>
      </c>
      <c r="E6" t="s">
        <v>452</v>
      </c>
      <c r="F6" t="s">
        <v>453</v>
      </c>
      <c r="G6">
        <v>49318</v>
      </c>
      <c r="H6" t="s">
        <v>454</v>
      </c>
    </row>
    <row r="7" spans="1:8" x14ac:dyDescent="0.3">
      <c r="A7">
        <v>6</v>
      </c>
      <c r="B7" t="s">
        <v>455</v>
      </c>
      <c r="C7" t="s">
        <v>456</v>
      </c>
      <c r="D7" t="s">
        <v>457</v>
      </c>
      <c r="E7" t="s">
        <v>458</v>
      </c>
      <c r="F7" t="s">
        <v>459</v>
      </c>
      <c r="G7">
        <v>20191</v>
      </c>
      <c r="H7" t="s">
        <v>460</v>
      </c>
    </row>
    <row r="8" spans="1:8" x14ac:dyDescent="0.3">
      <c r="A8">
        <v>7</v>
      </c>
      <c r="B8" t="s">
        <v>461</v>
      </c>
      <c r="C8" t="s">
        <v>462</v>
      </c>
      <c r="D8" t="s">
        <v>463</v>
      </c>
      <c r="E8" t="s">
        <v>464</v>
      </c>
      <c r="F8" t="s">
        <v>465</v>
      </c>
      <c r="G8">
        <v>68771</v>
      </c>
      <c r="H8" t="s">
        <v>466</v>
      </c>
    </row>
    <row r="9" spans="1:8" x14ac:dyDescent="0.3">
      <c r="A9">
        <v>8</v>
      </c>
      <c r="B9" t="s">
        <v>467</v>
      </c>
      <c r="C9" t="s">
        <v>468</v>
      </c>
      <c r="D9" t="s">
        <v>469</v>
      </c>
      <c r="E9" t="s">
        <v>470</v>
      </c>
      <c r="F9" t="s">
        <v>471</v>
      </c>
      <c r="G9">
        <v>78801</v>
      </c>
      <c r="H9" t="s">
        <v>472</v>
      </c>
    </row>
    <row r="10" spans="1:8" x14ac:dyDescent="0.3">
      <c r="A10">
        <v>9</v>
      </c>
      <c r="B10" t="s">
        <v>473</v>
      </c>
      <c r="C10" t="s">
        <v>474</v>
      </c>
      <c r="D10" t="s">
        <v>475</v>
      </c>
      <c r="E10" t="s">
        <v>428</v>
      </c>
      <c r="F10" t="s">
        <v>429</v>
      </c>
      <c r="G10">
        <v>93721</v>
      </c>
      <c r="H10" t="s">
        <v>476</v>
      </c>
    </row>
    <row r="11" spans="1:8" x14ac:dyDescent="0.3">
      <c r="A11">
        <v>10</v>
      </c>
      <c r="B11" t="s">
        <v>477</v>
      </c>
      <c r="C11" t="s">
        <v>478</v>
      </c>
      <c r="D11" t="s">
        <v>479</v>
      </c>
      <c r="E11" t="s">
        <v>480</v>
      </c>
      <c r="F11" t="s">
        <v>429</v>
      </c>
      <c r="G11">
        <v>92614</v>
      </c>
      <c r="H11" t="s">
        <v>481</v>
      </c>
    </row>
    <row r="12" spans="1:8" x14ac:dyDescent="0.3">
      <c r="A12">
        <v>11</v>
      </c>
      <c r="B12" t="s">
        <v>482</v>
      </c>
      <c r="C12" t="s">
        <v>483</v>
      </c>
      <c r="D12" t="s">
        <v>484</v>
      </c>
      <c r="E12" t="s">
        <v>485</v>
      </c>
      <c r="F12" t="s">
        <v>486</v>
      </c>
      <c r="G12">
        <v>30030</v>
      </c>
      <c r="H12" t="s">
        <v>487</v>
      </c>
    </row>
    <row r="13" spans="1:8" x14ac:dyDescent="0.3">
      <c r="A13">
        <v>12</v>
      </c>
      <c r="B13" t="s">
        <v>488</v>
      </c>
      <c r="C13" t="s">
        <v>489</v>
      </c>
      <c r="D13" t="s">
        <v>490</v>
      </c>
      <c r="E13" t="s">
        <v>491</v>
      </c>
      <c r="F13" t="s">
        <v>492</v>
      </c>
      <c r="G13">
        <v>46205</v>
      </c>
      <c r="H13" t="s">
        <v>493</v>
      </c>
    </row>
    <row r="14" spans="1:8" x14ac:dyDescent="0.3">
      <c r="A14">
        <v>13</v>
      </c>
      <c r="B14" t="s">
        <v>494</v>
      </c>
      <c r="C14" t="s">
        <v>495</v>
      </c>
      <c r="D14" t="s">
        <v>496</v>
      </c>
      <c r="E14" t="s">
        <v>497</v>
      </c>
      <c r="F14" t="s">
        <v>498</v>
      </c>
      <c r="G14">
        <v>1301</v>
      </c>
      <c r="H14" t="s">
        <v>499</v>
      </c>
    </row>
    <row r="15" spans="1:8" x14ac:dyDescent="0.3">
      <c r="A15">
        <v>14</v>
      </c>
      <c r="B15" t="s">
        <v>500</v>
      </c>
      <c r="C15" t="s">
        <v>501</v>
      </c>
      <c r="D15" t="s">
        <v>502</v>
      </c>
      <c r="E15" t="s">
        <v>503</v>
      </c>
      <c r="F15" t="s">
        <v>504</v>
      </c>
      <c r="G15">
        <v>63101</v>
      </c>
      <c r="H15" t="s">
        <v>505</v>
      </c>
    </row>
    <row r="16" spans="1:8" x14ac:dyDescent="0.3">
      <c r="A16">
        <v>15</v>
      </c>
      <c r="B16" t="s">
        <v>506</v>
      </c>
      <c r="C16" t="s">
        <v>507</v>
      </c>
      <c r="D16" t="s">
        <v>508</v>
      </c>
      <c r="E16" t="s">
        <v>509</v>
      </c>
      <c r="F16" t="s">
        <v>510</v>
      </c>
      <c r="G16">
        <v>84047</v>
      </c>
      <c r="H16" t="s">
        <v>511</v>
      </c>
    </row>
    <row r="17" spans="1:8" x14ac:dyDescent="0.3">
      <c r="A17">
        <v>16</v>
      </c>
      <c r="B17" t="s">
        <v>512</v>
      </c>
      <c r="C17" t="s">
        <v>513</v>
      </c>
      <c r="D17" t="s">
        <v>514</v>
      </c>
      <c r="E17" t="s">
        <v>515</v>
      </c>
      <c r="F17" t="s">
        <v>516</v>
      </c>
      <c r="G17">
        <v>23860</v>
      </c>
      <c r="H17" t="s">
        <v>517</v>
      </c>
    </row>
    <row r="18" spans="1:8" x14ac:dyDescent="0.3">
      <c r="A18">
        <v>17</v>
      </c>
      <c r="B18" t="s">
        <v>518</v>
      </c>
      <c r="C18" t="s">
        <v>519</v>
      </c>
      <c r="D18" t="s">
        <v>520</v>
      </c>
      <c r="E18" t="s">
        <v>521</v>
      </c>
      <c r="F18" t="s">
        <v>419</v>
      </c>
      <c r="G18">
        <v>18510</v>
      </c>
      <c r="H18" t="s">
        <v>522</v>
      </c>
    </row>
    <row r="19" spans="1:8" x14ac:dyDescent="0.3">
      <c r="A19">
        <v>18</v>
      </c>
      <c r="B19" t="s">
        <v>523</v>
      </c>
      <c r="C19" t="s">
        <v>524</v>
      </c>
      <c r="D19" t="s">
        <v>525</v>
      </c>
      <c r="E19" t="s">
        <v>428</v>
      </c>
      <c r="F19" t="s">
        <v>526</v>
      </c>
      <c r="G19">
        <v>7728</v>
      </c>
      <c r="H19" t="s">
        <v>527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C04EB-EA05-4C8D-8EBB-0106A8A1668C}">
  <sheetPr codeName="Sheet13"/>
  <dimension ref="A1:H6"/>
  <sheetViews>
    <sheetView workbookViewId="0">
      <pane ySplit="1" topLeftCell="A2" activePane="bottomLeft" state="frozen"/>
      <selection pane="bottomLeft" activeCell="A2" sqref="A2"/>
    </sheetView>
  </sheetViews>
  <sheetFormatPr defaultRowHeight="14.4" x14ac:dyDescent="0.3"/>
  <cols>
    <col min="1" max="1" width="11.6640625" bestFit="1" customWidth="1"/>
    <col min="2" max="2" width="38.5546875" bestFit="1" customWidth="1"/>
    <col min="3" max="3" width="10.109375" bestFit="1" customWidth="1"/>
    <col min="4" max="4" width="9.6640625" bestFit="1" customWidth="1"/>
    <col min="5" max="5" width="15.88671875" bestFit="1" customWidth="1"/>
    <col min="6" max="6" width="10.6640625" bestFit="1" customWidth="1"/>
    <col min="7" max="7" width="21" bestFit="1" customWidth="1"/>
    <col min="8" max="8" width="11.44140625" bestFit="1" customWidth="1"/>
  </cols>
  <sheetData>
    <row r="1" spans="1:8" x14ac:dyDescent="0.3">
      <c r="A1" t="s">
        <v>34</v>
      </c>
      <c r="B1" t="s">
        <v>133</v>
      </c>
      <c r="C1" t="s">
        <v>10</v>
      </c>
      <c r="D1" t="s">
        <v>11</v>
      </c>
      <c r="E1" t="s">
        <v>134</v>
      </c>
      <c r="F1" t="s">
        <v>135</v>
      </c>
      <c r="G1" t="s">
        <v>136</v>
      </c>
      <c r="H1" t="s">
        <v>18</v>
      </c>
    </row>
    <row r="2" spans="1:8" x14ac:dyDescent="0.3">
      <c r="A2">
        <v>1</v>
      </c>
      <c r="B2" s="4" t="s">
        <v>528</v>
      </c>
      <c r="C2" t="s">
        <v>529</v>
      </c>
      <c r="D2" t="s">
        <v>530</v>
      </c>
      <c r="E2" s="3">
        <v>40896</v>
      </c>
      <c r="F2" t="s">
        <v>398</v>
      </c>
      <c r="G2" t="s">
        <v>531</v>
      </c>
      <c r="H2" t="s">
        <v>532</v>
      </c>
    </row>
    <row r="3" spans="1:8" x14ac:dyDescent="0.3">
      <c r="A3">
        <v>2</v>
      </c>
      <c r="B3" t="s">
        <v>533</v>
      </c>
      <c r="C3" t="s">
        <v>534</v>
      </c>
      <c r="D3" t="s">
        <v>535</v>
      </c>
      <c r="E3" s="3">
        <v>41701</v>
      </c>
      <c r="F3" t="s">
        <v>398</v>
      </c>
      <c r="G3" t="s">
        <v>531</v>
      </c>
      <c r="H3" t="s">
        <v>536</v>
      </c>
    </row>
    <row r="4" spans="1:8" x14ac:dyDescent="0.3">
      <c r="A4">
        <v>3</v>
      </c>
      <c r="B4" t="s">
        <v>537</v>
      </c>
      <c r="C4" t="s">
        <v>538</v>
      </c>
      <c r="D4" t="s">
        <v>539</v>
      </c>
      <c r="E4" s="3">
        <v>40413</v>
      </c>
      <c r="F4" t="s">
        <v>398</v>
      </c>
      <c r="G4" t="s">
        <v>540</v>
      </c>
      <c r="H4" t="s">
        <v>541</v>
      </c>
    </row>
    <row r="5" spans="1:8" x14ac:dyDescent="0.3">
      <c r="A5">
        <v>4</v>
      </c>
      <c r="B5" t="s">
        <v>542</v>
      </c>
      <c r="C5" t="s">
        <v>543</v>
      </c>
      <c r="D5" t="s">
        <v>544</v>
      </c>
      <c r="E5" s="3">
        <v>40641</v>
      </c>
      <c r="F5" t="s">
        <v>398</v>
      </c>
      <c r="G5" t="s">
        <v>540</v>
      </c>
      <c r="H5" t="s">
        <v>545</v>
      </c>
    </row>
    <row r="6" spans="1:8" x14ac:dyDescent="0.3">
      <c r="A6">
        <v>5</v>
      </c>
      <c r="B6" t="s">
        <v>546</v>
      </c>
      <c r="C6" t="s">
        <v>547</v>
      </c>
      <c r="D6" t="s">
        <v>548</v>
      </c>
      <c r="E6" s="3">
        <v>32167</v>
      </c>
      <c r="F6" t="s">
        <v>398</v>
      </c>
      <c r="G6" t="s">
        <v>549</v>
      </c>
      <c r="H6" t="s">
        <v>550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77B66-06F8-4E5C-89C4-9A62725838E6}">
  <sheetPr codeName="Sheet14"/>
  <dimension ref="A1:D13"/>
  <sheetViews>
    <sheetView workbookViewId="0">
      <pane ySplit="1" topLeftCell="A2" activePane="bottomLeft" state="frozen"/>
      <selection pane="bottomLeft" activeCell="A2" sqref="A2"/>
    </sheetView>
  </sheetViews>
  <sheetFormatPr defaultRowHeight="14.4" x14ac:dyDescent="0.3"/>
  <cols>
    <col min="1" max="1" width="23.5546875" bestFit="1" customWidth="1"/>
    <col min="2" max="2" width="39.5546875" bestFit="1" customWidth="1"/>
    <col min="3" max="3" width="10" bestFit="1" customWidth="1"/>
    <col min="4" max="4" width="23.5546875" bestFit="1" customWidth="1"/>
  </cols>
  <sheetData>
    <row r="1" spans="1:4" x14ac:dyDescent="0.3">
      <c r="A1" t="s">
        <v>551</v>
      </c>
      <c r="B1" t="s">
        <v>552</v>
      </c>
      <c r="C1" t="s">
        <v>23</v>
      </c>
      <c r="D1" t="s">
        <v>553</v>
      </c>
    </row>
    <row r="2" spans="1:4" x14ac:dyDescent="0.3">
      <c r="A2">
        <v>1</v>
      </c>
      <c r="B2" t="s">
        <v>554</v>
      </c>
      <c r="C2">
        <v>6</v>
      </c>
      <c r="D2" t="s">
        <v>555</v>
      </c>
    </row>
    <row r="3" spans="1:4" x14ac:dyDescent="0.3">
      <c r="A3">
        <v>2</v>
      </c>
      <c r="B3" t="s">
        <v>556</v>
      </c>
      <c r="C3">
        <v>7</v>
      </c>
      <c r="D3" t="s">
        <v>557</v>
      </c>
    </row>
    <row r="4" spans="1:4" x14ac:dyDescent="0.3">
      <c r="A4">
        <v>3</v>
      </c>
      <c r="B4" t="s">
        <v>558</v>
      </c>
      <c r="C4">
        <v>7</v>
      </c>
      <c r="D4" t="s">
        <v>559</v>
      </c>
    </row>
    <row r="5" spans="1:4" x14ac:dyDescent="0.3">
      <c r="A5">
        <v>4</v>
      </c>
      <c r="B5" t="s">
        <v>560</v>
      </c>
      <c r="C5">
        <v>4</v>
      </c>
      <c r="D5" t="s">
        <v>561</v>
      </c>
    </row>
    <row r="6" spans="1:4" x14ac:dyDescent="0.3">
      <c r="A6">
        <v>5</v>
      </c>
      <c r="B6" t="s">
        <v>562</v>
      </c>
      <c r="C6">
        <v>5</v>
      </c>
      <c r="D6" t="s">
        <v>563</v>
      </c>
    </row>
    <row r="7" spans="1:4" x14ac:dyDescent="0.3">
      <c r="A7">
        <v>6</v>
      </c>
      <c r="B7" t="s">
        <v>564</v>
      </c>
      <c r="C7">
        <v>3</v>
      </c>
      <c r="D7" t="s">
        <v>565</v>
      </c>
    </row>
    <row r="8" spans="1:4" x14ac:dyDescent="0.3">
      <c r="A8">
        <v>7</v>
      </c>
      <c r="B8" t="s">
        <v>566</v>
      </c>
      <c r="C8">
        <v>2</v>
      </c>
      <c r="D8" t="s">
        <v>567</v>
      </c>
    </row>
    <row r="9" spans="1:4" x14ac:dyDescent="0.3">
      <c r="A9">
        <v>8</v>
      </c>
      <c r="B9" t="s">
        <v>568</v>
      </c>
      <c r="C9">
        <v>6</v>
      </c>
      <c r="D9" t="s">
        <v>557</v>
      </c>
    </row>
    <row r="10" spans="1:4" x14ac:dyDescent="0.3">
      <c r="A10">
        <v>9</v>
      </c>
      <c r="B10" s="4" t="s">
        <v>569</v>
      </c>
      <c r="C10">
        <v>2</v>
      </c>
      <c r="D10" t="s">
        <v>570</v>
      </c>
    </row>
    <row r="11" spans="1:4" x14ac:dyDescent="0.3">
      <c r="A11">
        <v>10</v>
      </c>
      <c r="B11" t="s">
        <v>571</v>
      </c>
      <c r="C11">
        <v>4</v>
      </c>
      <c r="D11" t="s">
        <v>572</v>
      </c>
    </row>
    <row r="12" spans="1:4" x14ac:dyDescent="0.3">
      <c r="A12">
        <v>11</v>
      </c>
      <c r="B12" t="s">
        <v>573</v>
      </c>
      <c r="C12">
        <v>2</v>
      </c>
      <c r="D12" t="s">
        <v>574</v>
      </c>
    </row>
    <row r="13" spans="1:4" x14ac:dyDescent="0.3">
      <c r="A13">
        <v>12</v>
      </c>
      <c r="B13" t="s">
        <v>575</v>
      </c>
      <c r="C13">
        <v>1</v>
      </c>
      <c r="D13" t="s">
        <v>576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0582F-DB22-4A41-BDAB-86221C297EE5}">
  <sheetPr codeName="Sheet15"/>
  <dimension ref="A1:I6"/>
  <sheetViews>
    <sheetView workbookViewId="0">
      <pane ySplit="1" topLeftCell="A2" activePane="bottomLeft" state="frozen"/>
      <selection pane="bottomLeft" activeCell="A2" sqref="A2"/>
    </sheetView>
  </sheetViews>
  <sheetFormatPr defaultRowHeight="14.4" x14ac:dyDescent="0.3"/>
  <cols>
    <col min="2" max="2" width="39.44140625" bestFit="1" customWidth="1"/>
    <col min="3" max="3" width="10" bestFit="1" customWidth="1"/>
    <col min="4" max="4" width="20.6640625" bestFit="1" customWidth="1"/>
    <col min="5" max="5" width="9" bestFit="1" customWidth="1"/>
    <col min="6" max="6" width="15.88671875" bestFit="1" customWidth="1"/>
    <col min="7" max="7" width="19" bestFit="1" customWidth="1"/>
    <col min="8" max="8" width="20" bestFit="1" customWidth="1"/>
    <col min="9" max="9" width="15.33203125" bestFit="1" customWidth="1"/>
  </cols>
  <sheetData>
    <row r="1" spans="1:9" x14ac:dyDescent="0.3">
      <c r="A1" t="s">
        <v>577</v>
      </c>
      <c r="B1" t="s">
        <v>578</v>
      </c>
      <c r="C1" t="s">
        <v>23</v>
      </c>
      <c r="D1" t="s">
        <v>579</v>
      </c>
      <c r="E1" t="s">
        <v>580</v>
      </c>
      <c r="F1" t="s">
        <v>581</v>
      </c>
      <c r="G1" t="s">
        <v>582</v>
      </c>
      <c r="H1" t="s">
        <v>583</v>
      </c>
      <c r="I1" t="s">
        <v>584</v>
      </c>
    </row>
    <row r="2" spans="1:9" x14ac:dyDescent="0.3">
      <c r="A2">
        <v>1</v>
      </c>
      <c r="B2" t="s">
        <v>585</v>
      </c>
      <c r="C2">
        <v>6</v>
      </c>
      <c r="D2">
        <v>2</v>
      </c>
      <c r="E2">
        <v>11306.32</v>
      </c>
      <c r="F2" s="3">
        <v>41524</v>
      </c>
      <c r="G2" s="3">
        <v>41524</v>
      </c>
      <c r="H2" t="s">
        <v>586</v>
      </c>
      <c r="I2">
        <v>44972</v>
      </c>
    </row>
    <row r="3" spans="1:9" x14ac:dyDescent="0.3">
      <c r="A3">
        <v>2</v>
      </c>
      <c r="B3" t="s">
        <v>587</v>
      </c>
      <c r="C3">
        <v>4</v>
      </c>
      <c r="D3">
        <v>2</v>
      </c>
      <c r="E3">
        <v>17413.310000000001</v>
      </c>
      <c r="F3" s="3">
        <v>35908</v>
      </c>
      <c r="G3" s="3">
        <v>35908</v>
      </c>
      <c r="H3" t="s">
        <v>588</v>
      </c>
      <c r="I3">
        <v>92420</v>
      </c>
    </row>
    <row r="4" spans="1:9" x14ac:dyDescent="0.3">
      <c r="A4">
        <v>3</v>
      </c>
      <c r="B4" t="s">
        <v>589</v>
      </c>
      <c r="C4">
        <v>2</v>
      </c>
      <c r="D4">
        <v>2</v>
      </c>
      <c r="E4">
        <v>9558.14</v>
      </c>
      <c r="F4" s="3">
        <v>32318</v>
      </c>
      <c r="G4" s="3">
        <v>32318</v>
      </c>
      <c r="H4" t="s">
        <v>590</v>
      </c>
      <c r="I4">
        <v>63077</v>
      </c>
    </row>
    <row r="5" spans="1:9" x14ac:dyDescent="0.3">
      <c r="A5">
        <v>4</v>
      </c>
      <c r="B5" t="s">
        <v>591</v>
      </c>
      <c r="C5">
        <v>1</v>
      </c>
      <c r="D5">
        <v>2</v>
      </c>
      <c r="E5">
        <v>8751.14</v>
      </c>
      <c r="F5" s="3">
        <v>33867</v>
      </c>
      <c r="G5" s="3">
        <v>33867</v>
      </c>
      <c r="H5" t="s">
        <v>592</v>
      </c>
      <c r="I5">
        <v>74285</v>
      </c>
    </row>
    <row r="6" spans="1:9" x14ac:dyDescent="0.3">
      <c r="A6">
        <v>5</v>
      </c>
      <c r="B6" t="s">
        <v>593</v>
      </c>
      <c r="C6">
        <v>4</v>
      </c>
      <c r="D6">
        <v>2</v>
      </c>
      <c r="E6">
        <v>786.72</v>
      </c>
      <c r="F6" s="3">
        <v>35590</v>
      </c>
      <c r="G6" s="3">
        <v>35590</v>
      </c>
      <c r="H6" t="s">
        <v>594</v>
      </c>
      <c r="I6">
        <v>88678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8E454-31E0-4515-BADE-E3E5DD5527C2}">
  <sheetPr codeName="Sheet16"/>
  <dimension ref="A1:F5"/>
  <sheetViews>
    <sheetView workbookViewId="0">
      <pane ySplit="1" topLeftCell="A2" activePane="bottomLeft" state="frozen"/>
      <selection pane="bottomLeft" activeCell="A2" sqref="A2"/>
    </sheetView>
  </sheetViews>
  <sheetFormatPr defaultRowHeight="14.4" x14ac:dyDescent="0.3"/>
  <cols>
    <col min="1" max="1" width="17.5546875" bestFit="1" customWidth="1"/>
    <col min="2" max="2" width="39.5546875" bestFit="1" customWidth="1"/>
    <col min="3" max="3" width="20.6640625" bestFit="1" customWidth="1"/>
    <col min="4" max="4" width="24.44140625" bestFit="1" customWidth="1"/>
    <col min="5" max="5" width="21" bestFit="1" customWidth="1"/>
  </cols>
  <sheetData>
    <row r="1" spans="1:6" x14ac:dyDescent="0.3">
      <c r="A1" t="s">
        <v>595</v>
      </c>
      <c r="B1" t="s">
        <v>596</v>
      </c>
      <c r="C1" t="s">
        <v>579</v>
      </c>
      <c r="D1" t="s">
        <v>597</v>
      </c>
      <c r="E1" t="s">
        <v>598</v>
      </c>
      <c r="F1" t="s">
        <v>599</v>
      </c>
    </row>
    <row r="2" spans="1:6" x14ac:dyDescent="0.3">
      <c r="A2">
        <v>1</v>
      </c>
      <c r="B2" t="s">
        <v>600</v>
      </c>
      <c r="C2">
        <v>0</v>
      </c>
      <c r="D2">
        <v>0</v>
      </c>
      <c r="E2" t="s">
        <v>601</v>
      </c>
      <c r="F2" t="s">
        <v>602</v>
      </c>
    </row>
    <row r="3" spans="1:6" x14ac:dyDescent="0.3">
      <c r="A3">
        <v>2</v>
      </c>
      <c r="B3" t="s">
        <v>603</v>
      </c>
      <c r="C3">
        <v>1</v>
      </c>
      <c r="D3">
        <v>1</v>
      </c>
      <c r="E3" t="s">
        <v>604</v>
      </c>
      <c r="F3" t="s">
        <v>605</v>
      </c>
    </row>
    <row r="4" spans="1:6" x14ac:dyDescent="0.3">
      <c r="A4">
        <v>3</v>
      </c>
      <c r="B4" t="s">
        <v>606</v>
      </c>
      <c r="C4">
        <v>2</v>
      </c>
      <c r="D4">
        <v>2</v>
      </c>
      <c r="E4" t="s">
        <v>607</v>
      </c>
      <c r="F4" t="s">
        <v>608</v>
      </c>
    </row>
    <row r="5" spans="1:6" x14ac:dyDescent="0.3">
      <c r="A5">
        <v>4</v>
      </c>
      <c r="B5" t="s">
        <v>609</v>
      </c>
      <c r="C5">
        <v>3</v>
      </c>
      <c r="D5">
        <v>3</v>
      </c>
      <c r="E5" t="s">
        <v>610</v>
      </c>
      <c r="F5" t="s">
        <v>611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Configuration</vt:lpstr>
      <vt:lpstr>TemplateObjectCollection</vt:lpstr>
      <vt:lpstr>TemplateObjectController</vt:lpstr>
      <vt:lpstr>TemplateLookupController</vt:lpstr>
      <vt:lpstr>TemplateHTMLSinglePageApp</vt:lpstr>
      <vt:lpstr>ComponentAccount</vt:lpstr>
      <vt:lpstr>ComponentBranch</vt:lpstr>
      <vt:lpstr>ComponentCustomer</vt:lpstr>
      <vt:lpstr>ComponentEmployee</vt:lpstr>
      <vt:lpstr>TableAccount</vt:lpstr>
      <vt:lpstr>TableBranch</vt:lpstr>
      <vt:lpstr>TableCustomer</vt:lpstr>
      <vt:lpstr>TableEmployee</vt:lpstr>
      <vt:lpstr>TableServiceChargeManager</vt:lpstr>
      <vt:lpstr>TableTransaction</vt:lpstr>
      <vt:lpstr>TableTransactionType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Patterson</dc:creator>
  <cp:lastModifiedBy>Daniel Patterson</cp:lastModifiedBy>
  <dcterms:created xsi:type="dcterms:W3CDTF">2018-04-30T14:18:46Z</dcterms:created>
  <dcterms:modified xsi:type="dcterms:W3CDTF">2019-04-20T06:14:18Z</dcterms:modified>
</cp:coreProperties>
</file>
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BankCore\Docs\"/>
    </mc:Choice>
  </mc:AlternateContent>
  <xr:revisionPtr revIDLastSave="0" documentId="13_ncr:1_{580AAC5B-21F9-4B2C-98DE-0EAEB5366ECC}" xr6:coauthVersionLast="43" xr6:coauthVersionMax="43" xr10:uidLastSave="{00000000-0000-0000-0000-000000000000}"/>
  <bookViews>
    <workbookView xWindow="5040" yWindow="504" windowWidth="17292" windowHeight="8880" xr2:uid="{9AB488AA-0CFC-4358-A4CB-36B70F8170B2}"/>
  </bookViews>
  <sheets>
    <sheet name="ComponentAccount" sheetId="4" r:id="rId1"/>
    <sheet name="ComponentBranch" sheetId="7" r:id="rId2"/>
    <sheet name="ComponentCustomer" sheetId="3" r:id="rId3"/>
    <sheet name="ComponentEmployee" sheetId="8" r:id="rId4"/>
    <sheet name="TableAccount" sheetId="12" r:id="rId5"/>
    <sheet name="TableBranch" sheetId="13" r:id="rId6"/>
    <sheet name="TableCustomer" sheetId="14" r:id="rId7"/>
    <sheet name="TableEmployee" sheetId="15" r:id="rId8"/>
    <sheet name="TableServiceChargeManager" sheetId="16" r:id="rId9"/>
    <sheet name="TableTransaction" sheetId="17" r:id="rId10"/>
    <sheet name="TableTransactionType" sheetId="18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4" l="1"/>
  <c r="N3" i="4"/>
  <c r="C11" i="8" l="1"/>
  <c r="C10" i="8"/>
  <c r="C7" i="8"/>
  <c r="C6" i="8"/>
  <c r="C9" i="7"/>
  <c r="C8" i="7"/>
  <c r="C7" i="7"/>
  <c r="C6" i="7"/>
  <c r="C5" i="7"/>
  <c r="C10" i="3"/>
  <c r="C9" i="3"/>
  <c r="C8" i="3"/>
  <c r="C7" i="3"/>
  <c r="C6" i="3"/>
  <c r="C5" i="3"/>
  <c r="C16" i="4"/>
  <c r="C11" i="4"/>
  <c r="C9" i="4"/>
  <c r="C5" i="4"/>
</calcChain>
</file>

<file path=xl/sharedStrings.xml><?xml version="1.0" encoding="utf-8"?>
<sst xmlns="http://schemas.openxmlformats.org/spreadsheetml/2006/main" count="684" uniqueCount="363">
  <si>
    <t>Name</t>
  </si>
  <si>
    <t>Grid</t>
  </si>
  <si>
    <t>Source</t>
  </si>
  <si>
    <t>Account</t>
  </si>
  <si>
    <t>Branch</t>
  </si>
  <si>
    <t>FirstName</t>
  </si>
  <si>
    <t>LastName</t>
  </si>
  <si>
    <t>CustomerID</t>
  </si>
  <si>
    <t>CustomerTicket</t>
  </si>
  <si>
    <t>Address</t>
  </si>
  <si>
    <t>City</t>
  </si>
  <si>
    <t>State</t>
  </si>
  <si>
    <t>ZipCode</t>
  </si>
  <si>
    <t>TIN</t>
  </si>
  <si>
    <t>int</t>
  </si>
  <si>
    <t>Guid</t>
  </si>
  <si>
    <t>string</t>
  </si>
  <si>
    <t>DataType</t>
  </si>
  <si>
    <t>AccountID</t>
  </si>
  <si>
    <t>AccountTicket</t>
  </si>
  <si>
    <t>AccountStatus</t>
  </si>
  <si>
    <t>BalanceAvailable</t>
  </si>
  <si>
    <t>decimal</t>
  </si>
  <si>
    <t>BalancePending</t>
  </si>
  <si>
    <t>DateOpened</t>
  </si>
  <si>
    <t>DateTime</t>
  </si>
  <si>
    <t>DateClosed</t>
  </si>
  <si>
    <t>DateLastActivity</t>
  </si>
  <si>
    <t>BranchID</t>
  </si>
  <si>
    <t>EmployeeID</t>
  </si>
  <si>
    <t>CustomerName</t>
  </si>
  <si>
    <t>BranchName</t>
  </si>
  <si>
    <t>bnkCustomer</t>
  </si>
  <si>
    <t>bnkBranch</t>
  </si>
  <si>
    <t>EmployeeName</t>
  </si>
  <si>
    <t>bnkEmployee</t>
  </si>
  <si>
    <t>IIF(LEN(FirstName) &gt; 0 AND LEN(LastName) &gt; 0, FirstName + " " + LastName, FirstName + LastName)</t>
  </si>
  <si>
    <t>Alias</t>
  </si>
  <si>
    <t>KeyName</t>
  </si>
  <si>
    <t>KeyValue</t>
  </si>
  <si>
    <t>Active</t>
  </si>
  <si>
    <t>get, set</t>
  </si>
  <si>
    <t>Select</t>
  </si>
  <si>
    <t>get SQL</t>
  </si>
  <si>
    <t>Table</t>
  </si>
  <si>
    <t>DefaultValue</t>
  </si>
  <si>
    <t>Guid.Empty</t>
  </si>
  <si>
    <t>DateTime.MinValue</t>
  </si>
  <si>
    <t>BranchTicket</t>
  </si>
  <si>
    <t>EmployeeTicket</t>
  </si>
  <si>
    <t>DateStarted</t>
  </si>
  <si>
    <t>DateEnded</t>
  </si>
  <si>
    <t>Title</t>
  </si>
  <si>
    <t>object</t>
  </si>
  <si>
    <t>item</t>
  </si>
  <si>
    <t>Customer</t>
  </si>
  <si>
    <t>Employee</t>
  </si>
  <si>
    <t>IsData</t>
  </si>
  <si>
    <t>Display</t>
  </si>
  <si>
    <t>ID</t>
  </si>
  <si>
    <t>Status</t>
  </si>
  <si>
    <t>Ticket</t>
  </si>
  <si>
    <t>Branch ID</t>
  </si>
  <si>
    <t>Balance Available</t>
  </si>
  <si>
    <t>Balance Pending</t>
  </si>
  <si>
    <t>Branch Name</t>
  </si>
  <si>
    <t>Customer ID</t>
  </si>
  <si>
    <t>Customer Name</t>
  </si>
  <si>
    <t>Date Closed</t>
  </si>
  <si>
    <t>Date Last Activity</t>
  </si>
  <si>
    <t>Date Opened</t>
  </si>
  <si>
    <t>Employee ID</t>
  </si>
  <si>
    <t>Employee Name</t>
  </si>
  <si>
    <t>Editor</t>
  </si>
  <si>
    <t>ReadOnly</t>
  </si>
  <si>
    <t>Text</t>
  </si>
  <si>
    <t>Currency</t>
  </si>
  <si>
    <t>Zip Code</t>
  </si>
  <si>
    <t>DisplayName</t>
  </si>
  <si>
    <t>""</t>
  </si>
  <si>
    <t>Override</t>
  </si>
  <si>
    <t>get { return (FirstName.Length &gt; 0 &amp;&amp; LastName.Length &gt; 0 ? FirstName + " " + LastName : FirstName + LastName); }</t>
  </si>
  <si>
    <t>Display Name</t>
  </si>
  <si>
    <t>First Name</t>
  </si>
  <si>
    <t>Last Name</t>
  </si>
  <si>
    <t>Date Started</t>
  </si>
  <si>
    <t>Date Ended</t>
  </si>
  <si>
    <t>UI Key</t>
  </si>
  <si>
    <t>UI Value</t>
  </si>
  <si>
    <t>UI Display</t>
  </si>
  <si>
    <t>UI Update</t>
  </si>
  <si>
    <t>UI Source</t>
  </si>
  <si>
    <t>DatePicker</t>
  </si>
  <si>
    <t>UpdateDisplayName(this, FirstName, LastName)</t>
  </si>
  <si>
    <t>Default</t>
  </si>
  <si>
    <t>Length</t>
  </si>
  <si>
    <t>Description</t>
  </si>
  <si>
    <t>Local identification of this record.</t>
  </si>
  <si>
    <t>Global Identification of this record.</t>
  </si>
  <si>
    <t>Status of the account.</t>
  </si>
  <si>
    <t>Current available balance.</t>
  </si>
  <si>
    <t>Balance if all pending transactions are approved.</t>
  </si>
  <si>
    <t>Branch at which this account is domiciled.</t>
  </si>
  <si>
    <t>Name of the domicile branch.</t>
  </si>
  <si>
    <t>Customer to which this account belongs.</t>
  </si>
  <si>
    <t>Name of owner customer.</t>
  </si>
  <si>
    <t>Date upon which the account was closed.</t>
  </si>
  <si>
    <t>Date upon which the account experienced its last known activity.</t>
  </si>
  <si>
    <t>Date upon which the account was opened.</t>
  </si>
  <si>
    <t>Employee assigned to this account.</t>
  </si>
  <si>
    <t>Name of the responsible employee.</t>
  </si>
  <si>
    <t>Global identification of this record.</t>
  </si>
  <si>
    <t>Name of the branch.</t>
  </si>
  <si>
    <t>Branch address.</t>
  </si>
  <si>
    <t>Branch city.</t>
  </si>
  <si>
    <t>Branch state.</t>
  </si>
  <si>
    <t>Branch zip code.</t>
  </si>
  <si>
    <t>Customer name.</t>
  </si>
  <si>
    <t>Customer address.</t>
  </si>
  <si>
    <t>Customer city.</t>
  </si>
  <si>
    <t>Customer zip code.</t>
  </si>
  <si>
    <t>Customer tax identification number.</t>
  </si>
  <si>
    <t>Customer tax idenstficaston number.</t>
  </si>
  <si>
    <t>Display Name of the employee.</t>
  </si>
  <si>
    <t>Employee first name.</t>
  </si>
  <si>
    <t>Employee last name.</t>
  </si>
  <si>
    <t>Date upon which the employee started.</t>
  </si>
  <si>
    <t>Date upon which the employee left organization.</t>
  </si>
  <si>
    <t>Employee title.</t>
  </si>
  <si>
    <t>Employee tax identification number.</t>
  </si>
  <si>
    <t>1,1</t>
  </si>
  <si>
    <t>get override</t>
  </si>
  <si>
    <t>MM/dd/yyyy</t>
  </si>
  <si>
    <t>yyyyMMdd</t>
  </si>
  <si>
    <t>ComboBox</t>
  </si>
  <si>
    <t>UpdateBranch(this, Branches, BranchLookupData, "BranchID")</t>
  </si>
  <si>
    <t>UpdateCustomer(this, CustomerLookupData, Customers, "CustomerID")</t>
  </si>
  <si>
    <t>UpdateEmployee(this, Employees, EmployeeLookupData, "EmployeeID")</t>
  </si>
  <si>
    <t>F94259BE-92A2-4DFA-A1F9-1370A341F5F1</t>
  </si>
  <si>
    <t>NULL</t>
  </si>
  <si>
    <t>5E33AE21-BA5F-4974-BBC3-8A65CFBBEA25</t>
  </si>
  <si>
    <t>ECA74C94-3148-4DA3-8AC2-6A34982F290D</t>
  </si>
  <si>
    <t>0CED83D0-464C-4BDD-92ED-7ACB8E5155AD</t>
  </si>
  <si>
    <t>D3684C78-5B0E-4A22-A687-5D627B85677F</t>
  </si>
  <si>
    <t>CB98FCE0-BA25-454C-BEBC-3C7EE6733961</t>
  </si>
  <si>
    <t>54FDE9A0-D45D-4AB3-9B84-7BA92596E71B</t>
  </si>
  <si>
    <t>382E9559-3AFB-4BDC-99B9-049808578789</t>
  </si>
  <si>
    <t>North</t>
  </si>
  <si>
    <t>4026 Lauren Drive</t>
  </si>
  <si>
    <t>Madison</t>
  </si>
  <si>
    <t>WI</t>
  </si>
  <si>
    <t>4C13BB4E-4072-41B1-BE31-33DF7E806470</t>
  </si>
  <si>
    <t>South</t>
  </si>
  <si>
    <t>1250 Buffalo Creek Road</t>
  </si>
  <si>
    <t>Nashville</t>
  </si>
  <si>
    <t>TN</t>
  </si>
  <si>
    <t>2B0DD67D-0AF4-4932-8DF0-543E2F9369B4</t>
  </si>
  <si>
    <t>East</t>
  </si>
  <si>
    <t>1104 Jacobs Street</t>
  </si>
  <si>
    <t>Pittsburgh</t>
  </si>
  <si>
    <t>PA</t>
  </si>
  <si>
    <t>4BEEE4EE-28D7-494E-8331-9B43313D1C08</t>
  </si>
  <si>
    <t>West</t>
  </si>
  <si>
    <t>3339 Ridenour Street</t>
  </si>
  <si>
    <t>Doral</t>
  </si>
  <si>
    <t>FL</t>
  </si>
  <si>
    <t>6B28522A-D002-4D28-A307-9DBBA5CD6286</t>
  </si>
  <si>
    <t>Consolidated Messenger</t>
  </si>
  <si>
    <t>4786 Locust Court</t>
  </si>
  <si>
    <t>Fresno</t>
  </si>
  <si>
    <t>CA</t>
  </si>
  <si>
    <t>33-6566647</t>
  </si>
  <si>
    <t>92FDBA50-E929-46C1-A019-8CFFE9FAE7D6</t>
  </si>
  <si>
    <t>Alpine Ski House</t>
  </si>
  <si>
    <t>523 Redbud Drive</t>
  </si>
  <si>
    <t>New York</t>
  </si>
  <si>
    <t>NY</t>
  </si>
  <si>
    <t>90-3818787</t>
  </si>
  <si>
    <t>FEEED429-AB29-41C6-B71A-5D93C4910061</t>
  </si>
  <si>
    <t>Southridge Video</t>
  </si>
  <si>
    <t>2205 Cooks Mine Road</t>
  </si>
  <si>
    <t>Albuquerque</t>
  </si>
  <si>
    <t>NM</t>
  </si>
  <si>
    <t>06-1886298</t>
  </si>
  <si>
    <t>9D0F2962-F1EC-4409-85D7-DA79D2FD503C</t>
  </si>
  <si>
    <t>City Power &amp; Light</t>
  </si>
  <si>
    <t>2502 Oak Avenue</t>
  </si>
  <si>
    <t>Schaumburg</t>
  </si>
  <si>
    <t>IL</t>
  </si>
  <si>
    <t>19-7270587</t>
  </si>
  <si>
    <t>2806379A-6145-4357-B7AC-EA208BE25581</t>
  </si>
  <si>
    <t>Coho Winery</t>
  </si>
  <si>
    <t>112 West Street</t>
  </si>
  <si>
    <t>Casnovia</t>
  </si>
  <si>
    <t>MI</t>
  </si>
  <si>
    <t>79-9418423</t>
  </si>
  <si>
    <t>E785DAAC-9C3A-4419-9A81-898108B9253B</t>
  </si>
  <si>
    <t>Wide World Importers</t>
  </si>
  <si>
    <t>3148 Passaic Street</t>
  </si>
  <si>
    <t>Reston</t>
  </si>
  <si>
    <t>DC</t>
  </si>
  <si>
    <t>56-2467496</t>
  </si>
  <si>
    <t>65CDCEC2-368A-4B29-A156-0E0BB8FEA7FF</t>
  </si>
  <si>
    <t>Graphic Design Institute</t>
  </si>
  <si>
    <t>193 Poling Farm Road</t>
  </si>
  <si>
    <t>Randolph</t>
  </si>
  <si>
    <t>NE</t>
  </si>
  <si>
    <t>56-6751685</t>
  </si>
  <si>
    <t>ED3F3567-85A9-416B-909E-B25955D77E2A</t>
  </si>
  <si>
    <t>Adventure Works</t>
  </si>
  <si>
    <t>211 Farland Avenue</t>
  </si>
  <si>
    <t>Uvalde</t>
  </si>
  <si>
    <t>TX</t>
  </si>
  <si>
    <t>39-1309162</t>
  </si>
  <si>
    <t>924C9BAD-F3C9-445C-BDEC-C3BF20F15245</t>
  </si>
  <si>
    <t>Humongous Insurance</t>
  </si>
  <si>
    <t>1717 Edgewood Avenue</t>
  </si>
  <si>
    <t>40-8819895</t>
  </si>
  <si>
    <t>19E7E150-8B2A-408D-B0B5-5BAA43FD7A09</t>
  </si>
  <si>
    <t>Woodgrove Bank</t>
  </si>
  <si>
    <t>2110 Maple Street</t>
  </si>
  <si>
    <t>Irvine</t>
  </si>
  <si>
    <t>92-4691264</t>
  </si>
  <si>
    <t>04CEBA25-4680-40BD-83BE-9C68217A0E87</t>
  </si>
  <si>
    <t>Margie's Travel</t>
  </si>
  <si>
    <t>3379 College Street</t>
  </si>
  <si>
    <t>Decatur</t>
  </si>
  <si>
    <t>GA</t>
  </si>
  <si>
    <t>18-9269063</t>
  </si>
  <si>
    <t>9EFCA023-0BA6-404D-88D9-01061C419656</t>
  </si>
  <si>
    <t>Northwind Traders</t>
  </si>
  <si>
    <t>3850 Elk City Road</t>
  </si>
  <si>
    <t>Indianapolis</t>
  </si>
  <si>
    <t>IN</t>
  </si>
  <si>
    <t>87-4224500</t>
  </si>
  <si>
    <t>200DC2FD-0297-4D59-A429-5044505B4D2E</t>
  </si>
  <si>
    <t>Blue Yonder Airlines</t>
  </si>
  <si>
    <t>33 Trouser Leg Road</t>
  </si>
  <si>
    <t>Shelburne</t>
  </si>
  <si>
    <t>MA</t>
  </si>
  <si>
    <t>32-3149379</t>
  </si>
  <si>
    <t>E802AAFF-458A-4346-8E80-8FC25714476C</t>
  </si>
  <si>
    <t>Trey Research</t>
  </si>
  <si>
    <t>707 Bruce Street</t>
  </si>
  <si>
    <t>St. Louis</t>
  </si>
  <si>
    <t>MO</t>
  </si>
  <si>
    <t>53-9702721</t>
  </si>
  <si>
    <t>0DC2939F-551A-4E65-A008-C2A423E39C39</t>
  </si>
  <si>
    <t>The Phone Company</t>
  </si>
  <si>
    <t>1805 Tori Lane</t>
  </si>
  <si>
    <t>Midvale</t>
  </si>
  <si>
    <t>UT</t>
  </si>
  <si>
    <t>29-7989701</t>
  </si>
  <si>
    <t>B5BB0382-32F2-4339-B8F3-3C29EC55568A</t>
  </si>
  <si>
    <t>Wingtip Toys</t>
  </si>
  <si>
    <t>3280 Biddie Lane</t>
  </si>
  <si>
    <t>Hopewell</t>
  </si>
  <si>
    <t>VA</t>
  </si>
  <si>
    <t>41-3534687</t>
  </si>
  <si>
    <t>AEF13C51-8C70-4A30-B1B3-3E5BDA400E99</t>
  </si>
  <si>
    <t>Lucerne Publishing</t>
  </si>
  <si>
    <t>1336 Stoney Lonesome Road</t>
  </si>
  <si>
    <t>Scranton</t>
  </si>
  <si>
    <t>94-4071874</t>
  </si>
  <si>
    <t>052B2DE5-A02B-4DD4-969A-7D16F68AB290</t>
  </si>
  <si>
    <t>Fourth Coffee</t>
  </si>
  <si>
    <t>3288 Finwood Road</t>
  </si>
  <si>
    <t>NJ</t>
  </si>
  <si>
    <t>27-2130193</t>
  </si>
  <si>
    <t>0760656E-5790-4615-AE50-3032236AAC1D</t>
  </si>
  <si>
    <t>Eva</t>
  </si>
  <si>
    <t>Kilpatrick</t>
  </si>
  <si>
    <t>Teller</t>
  </si>
  <si>
    <t>115-98-6023</t>
  </si>
  <si>
    <t>81B4F116-1080-4E0C-96B5-C2EA781B21C7</t>
  </si>
  <si>
    <t>Joyce</t>
  </si>
  <si>
    <t>Kearney</t>
  </si>
  <si>
    <t>937-46-1306</t>
  </si>
  <si>
    <t>907826F3-1ED0-4565-AB95-13CA3C8A36C7</t>
  </si>
  <si>
    <t>Paula</t>
  </si>
  <si>
    <t>Fuller</t>
  </si>
  <si>
    <t>New Accounts</t>
  </si>
  <si>
    <t>281-76-4390</t>
  </si>
  <si>
    <t>C9853CE7-5546-4940-8BE0-96589595C70C</t>
  </si>
  <si>
    <t>Frank</t>
  </si>
  <si>
    <t>Wozniak</t>
  </si>
  <si>
    <t>925-37-2799</t>
  </si>
  <si>
    <t>FE833889-725F-4693-BC9B-B2AB2B86B522</t>
  </si>
  <si>
    <t>Donald</t>
  </si>
  <si>
    <t>Crawley</t>
  </si>
  <si>
    <t>Operations Supervisor</t>
  </si>
  <si>
    <t>777-11-9237</t>
  </si>
  <si>
    <t>ServiceChargeManagerID</t>
  </si>
  <si>
    <t>ServiceChargeManagerTicket</t>
  </si>
  <si>
    <t>ServiceChargeExpression</t>
  </si>
  <si>
    <t>CE873E13-B05C-4324-879E-8C99153F9DA6</t>
  </si>
  <si>
    <t>({v1}*0.27)-({v2}*0.027)</t>
  </si>
  <si>
    <t>76EBFE98-A024-49EB-BDE6-C3D8F344B621</t>
  </si>
  <si>
    <t>({v1}*0.03)-({v2}*0.003)</t>
  </si>
  <si>
    <t>C8EB4087-89A3-4A27-B0E1-11B2A5F6D476</t>
  </si>
  <si>
    <t>({v1}*0.88)-({v2}*0.088)</t>
  </si>
  <si>
    <t>27306C87-232F-469A-B100-69A4A8A1EF5A</t>
  </si>
  <si>
    <t>({v1}*0.53)-({v2}*0.053)</t>
  </si>
  <si>
    <t>2B05B659-C17F-45B6-B359-1C2AF17A8A96</t>
  </si>
  <si>
    <t>({v1}*0.56)-({v2}*0.056)</t>
  </si>
  <si>
    <t>9C921975-A25A-4723-9FF6-30EE6CA84489</t>
  </si>
  <si>
    <t>({v1}*0.45)-({v2}*0.045)</t>
  </si>
  <si>
    <t>5B8A5D85-9448-478C-AA3B-55068CE5A06C</t>
  </si>
  <si>
    <t>({v1}*0.63)-({v2}*0.063)</t>
  </si>
  <si>
    <t>ED23C380-A8E4-4230-A32E-A0AEA8788735</t>
  </si>
  <si>
    <t>7E6106DD-7237-4332-BACC-E53B24FFDF54</t>
  </si>
  <si>
    <t>({v1}*0.47)-({v2}*0.047)</t>
  </si>
  <si>
    <t>41D92C19-87CD-4AB7-85E7-4D1E56A405BD</t>
  </si>
  <si>
    <t>({v1}*0.00)-({v2}*0.097)</t>
  </si>
  <si>
    <t>DB0F8298-68D5-4E60-8CAB-EA698A1FE16E</t>
  </si>
  <si>
    <t>({v1}*0.75)-({v2}*0.075)</t>
  </si>
  <si>
    <t>90A42D1C-D81C-462B-A089-2A58AE5E1EDA</t>
  </si>
  <si>
    <t>({v1}*0.76)-({v2}*0.076)</t>
  </si>
  <si>
    <t>TransactionID</t>
  </si>
  <si>
    <t>TransactionTicket</t>
  </si>
  <si>
    <t>TransactionTypeEnum</t>
  </si>
  <si>
    <t>Amount</t>
  </si>
  <si>
    <t>DateTransaction</t>
  </si>
  <si>
    <t>DateFundsAvailable</t>
  </si>
  <si>
    <t>RemoteInstitution</t>
  </si>
  <si>
    <t>RemoteAccount</t>
  </si>
  <si>
    <t>3FB83D82-3F04-4A94-813F-50B207A29034</t>
  </si>
  <si>
    <t>Bank of the Best</t>
  </si>
  <si>
    <t>2B157DDC-0153-4162-904B-0F6F9CC0EB98</t>
  </si>
  <si>
    <t>Legion Bank</t>
  </si>
  <si>
    <t>0C356039-EE05-4BD7-A828-FEF9D8DC1A3F</t>
  </si>
  <si>
    <t>Omni Bank</t>
  </si>
  <si>
    <t>B9EBD756-1F02-4ABD-8C93-275F8D4A5D3A</t>
  </si>
  <si>
    <t>Roadhouse Bank</t>
  </si>
  <si>
    <t>03872633-6727-4D60-9F2B-00359AF48229</t>
  </si>
  <si>
    <t>Red Baron State Bank</t>
  </si>
  <si>
    <t>TransactionTypeID</t>
  </si>
  <si>
    <t>TransactionTypeTicket</t>
  </si>
  <si>
    <t>TransactionTypeSortIndex</t>
  </si>
  <si>
    <t>TransactionTypeName</t>
  </si>
  <si>
    <t>TransactionTypeDescription</t>
  </si>
  <si>
    <t>F8DC94D7-DC76-4908-84AA-1DCDE01CFEB8</t>
  </si>
  <si>
    <t>None</t>
  </si>
  <si>
    <t>Unknown or no type defined.</t>
  </si>
  <si>
    <t>5078F3B7-F0DB-4F83-AE13-44C468DB2F7D</t>
  </si>
  <si>
    <t>Cash</t>
  </si>
  <si>
    <t>Cash Deposit or Withdrawal.</t>
  </si>
  <si>
    <t>D3BE1BA3-D265-412D-95DE-8FA874BC8709</t>
  </si>
  <si>
    <t>CheckOut</t>
  </si>
  <si>
    <t>Check ONUS.</t>
  </si>
  <si>
    <t>2C253A85-B9AA-4442-B7A1-7512F71FA50D</t>
  </si>
  <si>
    <t>CheckIn</t>
  </si>
  <si>
    <t>Check Deposited on other institution.</t>
  </si>
  <si>
    <t>Account ID</t>
  </si>
  <si>
    <t>Account Ticket</t>
  </si>
  <si>
    <t>Customer Ticket</t>
  </si>
  <si>
    <t>Abbrev3</t>
  </si>
  <si>
    <t>act</t>
  </si>
  <si>
    <t>brc</t>
  </si>
  <si>
    <t>cst</t>
  </si>
  <si>
    <t>emp</t>
  </si>
  <si>
    <t>Grid Format</t>
  </si>
  <si>
    <t>Edit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</si>
</sst>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AC875-43C6-4B53-A47B-FFF4F09C339C}">
  <sheetPr codeName="Sheet5"/>
  <dimension ref="A1:Z1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4.4" x14ac:dyDescent="0.3"/>
  <cols>
    <col min="1" max="1" width="16.33203125" bestFit="1" customWidth="1"/>
    <col min="2" max="2" width="9.5546875" bestFit="1" customWidth="1"/>
    <col min="3" max="3" width="9.5546875" customWidth="1"/>
    <col min="4" max="4" width="6.88671875" bestFit="1" customWidth="1"/>
    <col min="5" max="5" width="10.44140625" bestFit="1" customWidth="1"/>
    <col min="6" max="6" width="13.33203125" bestFit="1" customWidth="1"/>
    <col min="7" max="7" width="15.33203125" customWidth="1"/>
    <col min="8" max="8" width="15.33203125" bestFit="1" customWidth="1"/>
    <col min="9" max="10" width="11.6640625" bestFit="1" customWidth="1"/>
    <col min="11" max="11" width="11.6640625" customWidth="1"/>
  </cols>
  <sheetData>
    <row r="1" spans="1:26" x14ac:dyDescent="0.3">
      <c r="A1" t="s">
        <v>0</v>
      </c>
      <c r="B1" t="s">
        <v>17</v>
      </c>
      <c r="C1" t="s">
        <v>45</v>
      </c>
      <c r="D1" t="s">
        <v>57</v>
      </c>
      <c r="E1" t="s">
        <v>2</v>
      </c>
      <c r="F1" t="s">
        <v>44</v>
      </c>
      <c r="G1" t="s">
        <v>42</v>
      </c>
      <c r="H1" t="s">
        <v>37</v>
      </c>
      <c r="I1" t="s">
        <v>38</v>
      </c>
      <c r="J1" t="s">
        <v>39</v>
      </c>
      <c r="K1" t="s">
        <v>80</v>
      </c>
      <c r="L1" t="s">
        <v>58</v>
      </c>
      <c r="M1" t="s">
        <v>1</v>
      </c>
      <c r="N1" t="s">
        <v>361</v>
      </c>
      <c r="O1" t="s">
        <v>73</v>
      </c>
      <c r="P1" t="s">
        <v>362</v>
      </c>
      <c r="Q1" t="s">
        <v>74</v>
      </c>
      <c r="R1" t="s">
        <v>91</v>
      </c>
      <c r="S1" t="s">
        <v>87</v>
      </c>
      <c r="T1" t="s">
        <v>88</v>
      </c>
      <c r="U1" t="s">
        <v>89</v>
      </c>
      <c r="V1" t="s">
        <v>90</v>
      </c>
      <c r="W1" t="s">
        <v>94</v>
      </c>
      <c r="X1" t="s">
        <v>95</v>
      </c>
      <c r="Y1" t="s">
        <v>356</v>
      </c>
      <c r="Z1" t="s">
        <v>96</v>
      </c>
    </row>
    <row r="2" spans="1:26" x14ac:dyDescent="0.3">
      <c r="A2" t="s">
        <v>3</v>
      </c>
      <c r="B2" t="s">
        <v>53</v>
      </c>
      <c r="C2" t="s">
        <v>130</v>
      </c>
      <c r="D2">
        <v>0</v>
      </c>
      <c r="E2" t="s">
        <v>54</v>
      </c>
      <c r="L2" t="s">
        <v>3</v>
      </c>
      <c r="Y2" t="s">
        <v>357</v>
      </c>
      <c r="Z2" t="s">
        <v>3</v>
      </c>
    </row>
    <row r="3" spans="1:26" x14ac:dyDescent="0.3">
      <c r="A3" t="s">
        <v>18</v>
      </c>
      <c r="B3" t="s">
        <v>14</v>
      </c>
      <c r="C3">
        <v>0</v>
      </c>
      <c r="D3">
        <v>1</v>
      </c>
      <c r="E3" t="s">
        <v>41</v>
      </c>
      <c r="L3" t="s">
        <v>353</v>
      </c>
      <c r="M3">
        <v>1</v>
      </c>
      <c r="N3" t="str">
        <f>"000000"</f>
        <v>000000</v>
      </c>
      <c r="P3" t="str">
        <f>"000000"</f>
        <v>000000</v>
      </c>
      <c r="W3">
        <v>1</v>
      </c>
      <c r="Z3" t="s">
        <v>97</v>
      </c>
    </row>
    <row r="4" spans="1:26" x14ac:dyDescent="0.3">
      <c r="A4" t="s">
        <v>19</v>
      </c>
      <c r="B4" t="s">
        <v>15</v>
      </c>
      <c r="C4" t="s">
        <v>46</v>
      </c>
      <c r="D4">
        <v>1</v>
      </c>
      <c r="E4" t="s">
        <v>41</v>
      </c>
      <c r="L4" t="s">
        <v>354</v>
      </c>
      <c r="O4" t="s">
        <v>75</v>
      </c>
      <c r="Q4">
        <v>1</v>
      </c>
      <c r="Z4" t="s">
        <v>98</v>
      </c>
    </row>
    <row r="5" spans="1:26" x14ac:dyDescent="0.3">
      <c r="A5" t="s">
        <v>20</v>
      </c>
      <c r="B5" t="s">
        <v>16</v>
      </c>
      <c r="C5" t="str">
        <f>""""""</f>
        <v>""</v>
      </c>
      <c r="D5">
        <v>1</v>
      </c>
      <c r="E5" t="s">
        <v>41</v>
      </c>
      <c r="L5" t="s">
        <v>60</v>
      </c>
      <c r="M5">
        <v>1</v>
      </c>
      <c r="O5" t="s">
        <v>75</v>
      </c>
      <c r="X5">
        <v>32</v>
      </c>
      <c r="Z5" t="s">
        <v>99</v>
      </c>
    </row>
    <row r="6" spans="1:26" x14ac:dyDescent="0.3">
      <c r="A6" t="s">
        <v>21</v>
      </c>
      <c r="B6" t="s">
        <v>22</v>
      </c>
      <c r="C6">
        <v>0</v>
      </c>
      <c r="D6">
        <v>1</v>
      </c>
      <c r="E6" t="s">
        <v>41</v>
      </c>
      <c r="L6" t="s">
        <v>63</v>
      </c>
      <c r="M6">
        <v>1</v>
      </c>
      <c r="N6" t="s">
        <v>76</v>
      </c>
      <c r="P6" t="s">
        <v>76</v>
      </c>
      <c r="Z6" t="s">
        <v>100</v>
      </c>
    </row>
    <row r="7" spans="1:26" x14ac:dyDescent="0.3">
      <c r="A7" t="s">
        <v>23</v>
      </c>
      <c r="B7" t="s">
        <v>22</v>
      </c>
      <c r="C7">
        <v>0</v>
      </c>
      <c r="D7">
        <v>1</v>
      </c>
      <c r="E7" t="s">
        <v>41</v>
      </c>
      <c r="L7" t="s">
        <v>64</v>
      </c>
      <c r="M7">
        <v>1</v>
      </c>
      <c r="N7" t="s">
        <v>76</v>
      </c>
      <c r="P7" t="s">
        <v>76</v>
      </c>
      <c r="Z7" t="s">
        <v>101</v>
      </c>
    </row>
    <row r="8" spans="1:26" x14ac:dyDescent="0.3">
      <c r="A8" t="s">
        <v>28</v>
      </c>
      <c r="B8" t="s">
        <v>14</v>
      </c>
      <c r="C8">
        <v>0</v>
      </c>
      <c r="D8">
        <v>1</v>
      </c>
      <c r="E8" t="s">
        <v>41</v>
      </c>
      <c r="L8" t="s">
        <v>62</v>
      </c>
      <c r="O8" t="s">
        <v>134</v>
      </c>
      <c r="R8" t="s">
        <v>4</v>
      </c>
      <c r="S8" t="s">
        <v>28</v>
      </c>
      <c r="T8" t="s">
        <v>28</v>
      </c>
      <c r="U8" t="s">
        <v>0</v>
      </c>
      <c r="V8" t="s">
        <v>135</v>
      </c>
      <c r="Z8" t="s">
        <v>102</v>
      </c>
    </row>
    <row r="9" spans="1:26" x14ac:dyDescent="0.3">
      <c r="A9" t="s">
        <v>31</v>
      </c>
      <c r="B9" t="s">
        <v>16</v>
      </c>
      <c r="C9" t="str">
        <f>""""""</f>
        <v>""</v>
      </c>
      <c r="D9">
        <v>0</v>
      </c>
      <c r="E9" t="s">
        <v>43</v>
      </c>
      <c r="F9" t="s">
        <v>33</v>
      </c>
      <c r="G9" t="s">
        <v>0</v>
      </c>
      <c r="H9" t="s">
        <v>0</v>
      </c>
      <c r="I9" t="s">
        <v>28</v>
      </c>
      <c r="J9" t="s">
        <v>28</v>
      </c>
      <c r="L9" t="s">
        <v>65</v>
      </c>
      <c r="M9">
        <v>1</v>
      </c>
      <c r="X9">
        <v>32</v>
      </c>
      <c r="Z9" t="s">
        <v>103</v>
      </c>
    </row>
    <row r="10" spans="1:26" x14ac:dyDescent="0.3">
      <c r="A10" t="s">
        <v>7</v>
      </c>
      <c r="B10" t="s">
        <v>14</v>
      </c>
      <c r="C10">
        <v>0</v>
      </c>
      <c r="D10">
        <v>1</v>
      </c>
      <c r="E10" t="s">
        <v>41</v>
      </c>
      <c r="L10" t="s">
        <v>66</v>
      </c>
      <c r="O10" t="s">
        <v>134</v>
      </c>
      <c r="R10" t="s">
        <v>55</v>
      </c>
      <c r="S10" t="s">
        <v>7</v>
      </c>
      <c r="T10" t="s">
        <v>7</v>
      </c>
      <c r="U10" t="s">
        <v>0</v>
      </c>
      <c r="V10" t="s">
        <v>136</v>
      </c>
      <c r="Z10" t="s">
        <v>104</v>
      </c>
    </row>
    <row r="11" spans="1:26" x14ac:dyDescent="0.3">
      <c r="A11" t="s">
        <v>30</v>
      </c>
      <c r="B11" t="s">
        <v>16</v>
      </c>
      <c r="C11" t="str">
        <f>""""""</f>
        <v>""</v>
      </c>
      <c r="D11">
        <v>0</v>
      </c>
      <c r="E11" t="s">
        <v>43</v>
      </c>
      <c r="F11" t="s">
        <v>32</v>
      </c>
      <c r="G11" t="s">
        <v>0</v>
      </c>
      <c r="H11" t="s">
        <v>0</v>
      </c>
      <c r="I11" t="s">
        <v>7</v>
      </c>
      <c r="J11" t="s">
        <v>7</v>
      </c>
      <c r="L11" t="s">
        <v>67</v>
      </c>
      <c r="M11">
        <v>1</v>
      </c>
      <c r="Z11" t="s">
        <v>105</v>
      </c>
    </row>
    <row r="12" spans="1:26" x14ac:dyDescent="0.3">
      <c r="A12" t="s">
        <v>26</v>
      </c>
      <c r="B12" t="s">
        <v>25</v>
      </c>
      <c r="C12" t="s">
        <v>47</v>
      </c>
      <c r="D12">
        <v>1</v>
      </c>
      <c r="E12" t="s">
        <v>41</v>
      </c>
      <c r="L12" t="s">
        <v>68</v>
      </c>
      <c r="M12">
        <v>1</v>
      </c>
      <c r="N12" t="s">
        <v>133</v>
      </c>
      <c r="O12" t="s">
        <v>92</v>
      </c>
      <c r="P12" t="s">
        <v>132</v>
      </c>
      <c r="Z12" t="s">
        <v>106</v>
      </c>
    </row>
    <row r="13" spans="1:26" x14ac:dyDescent="0.3">
      <c r="A13" t="s">
        <v>27</v>
      </c>
      <c r="B13" t="s">
        <v>25</v>
      </c>
      <c r="C13" t="s">
        <v>47</v>
      </c>
      <c r="D13">
        <v>1</v>
      </c>
      <c r="E13" t="s">
        <v>41</v>
      </c>
      <c r="L13" t="s">
        <v>69</v>
      </c>
      <c r="M13">
        <v>1</v>
      </c>
      <c r="N13" t="s">
        <v>133</v>
      </c>
      <c r="O13" t="s">
        <v>92</v>
      </c>
      <c r="P13" t="s">
        <v>132</v>
      </c>
      <c r="Z13" t="s">
        <v>107</v>
      </c>
    </row>
    <row r="14" spans="1:26" x14ac:dyDescent="0.3">
      <c r="A14" t="s">
        <v>24</v>
      </c>
      <c r="B14" t="s">
        <v>25</v>
      </c>
      <c r="C14" t="s">
        <v>47</v>
      </c>
      <c r="D14">
        <v>1</v>
      </c>
      <c r="E14" t="s">
        <v>41</v>
      </c>
      <c r="L14" t="s">
        <v>70</v>
      </c>
      <c r="M14">
        <v>1</v>
      </c>
      <c r="N14" t="s">
        <v>133</v>
      </c>
      <c r="O14" t="s">
        <v>92</v>
      </c>
      <c r="P14" t="s">
        <v>132</v>
      </c>
      <c r="Z14" t="s">
        <v>108</v>
      </c>
    </row>
    <row r="15" spans="1:26" x14ac:dyDescent="0.3">
      <c r="A15" t="s">
        <v>29</v>
      </c>
      <c r="B15" t="s">
        <v>14</v>
      </c>
      <c r="C15">
        <v>0</v>
      </c>
      <c r="D15">
        <v>1</v>
      </c>
      <c r="E15" t="s">
        <v>41</v>
      </c>
      <c r="L15" t="s">
        <v>71</v>
      </c>
      <c r="O15" t="s">
        <v>134</v>
      </c>
      <c r="R15" t="s">
        <v>56</v>
      </c>
      <c r="S15" t="s">
        <v>29</v>
      </c>
      <c r="T15" t="s">
        <v>29</v>
      </c>
      <c r="U15" t="s">
        <v>78</v>
      </c>
      <c r="V15" t="s">
        <v>137</v>
      </c>
      <c r="Z15" t="s">
        <v>109</v>
      </c>
    </row>
    <row r="16" spans="1:26" x14ac:dyDescent="0.3">
      <c r="A16" t="s">
        <v>34</v>
      </c>
      <c r="B16" t="s">
        <v>16</v>
      </c>
      <c r="C16" t="str">
        <f>""""""</f>
        <v>""</v>
      </c>
      <c r="D16">
        <v>0</v>
      </c>
      <c r="E16" t="s">
        <v>43</v>
      </c>
      <c r="F16" t="s">
        <v>35</v>
      </c>
      <c r="G16" t="s">
        <v>36</v>
      </c>
      <c r="H16" t="s">
        <v>34</v>
      </c>
      <c r="I16" t="s">
        <v>29</v>
      </c>
      <c r="J16" t="s">
        <v>29</v>
      </c>
      <c r="L16" t="s">
        <v>72</v>
      </c>
      <c r="M16">
        <v>1</v>
      </c>
      <c r="Z16" t="s">
        <v>110</v>
      </c>
    </row>
  </sheetData>
  <sortState xmlns:xlrd2="http://schemas.microsoft.com/office/spreadsheetml/2017/richdata2" ref="A3:J16">
    <sortCondition ref="A3:A1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1F3F3-47D1-4EDD-AC5E-A73034941DDD}">
  <sheetPr codeName="Sheet7"/>
  <dimension ref="A1:Z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2" sqref="N2"/>
    </sheetView>
  </sheetViews>
  <sheetFormatPr defaultRowHeight="14.4" x14ac:dyDescent="0.3"/>
  <cols>
    <col min="1" max="1" width="15" bestFit="1" customWidth="1"/>
  </cols>
  <sheetData>
    <row r="1" spans="1:26" x14ac:dyDescent="0.3">
      <c r="A1" t="s">
        <v>0</v>
      </c>
      <c r="B1" t="s">
        <v>17</v>
      </c>
      <c r="C1" t="s">
        <v>45</v>
      </c>
      <c r="D1" t="s">
        <v>57</v>
      </c>
      <c r="E1" t="s">
        <v>2</v>
      </c>
      <c r="F1" t="s">
        <v>44</v>
      </c>
      <c r="G1" t="s">
        <v>42</v>
      </c>
      <c r="H1" t="s">
        <v>37</v>
      </c>
      <c r="I1" t="s">
        <v>38</v>
      </c>
      <c r="J1" t="s">
        <v>39</v>
      </c>
      <c r="K1" t="s">
        <v>80</v>
      </c>
      <c r="L1" t="s">
        <v>58</v>
      </c>
      <c r="M1" t="s">
        <v>1</v>
      </c>
      <c r="N1" t="s">
        <v>361</v>
      </c>
      <c r="O1" t="s">
        <v>73</v>
      </c>
      <c r="P1" t="s">
        <v>362</v>
      </c>
      <c r="Q1" t="s">
        <v>74</v>
      </c>
      <c r="R1" t="s">
        <v>91</v>
      </c>
      <c r="S1" t="s">
        <v>87</v>
      </c>
      <c r="T1" t="s">
        <v>88</v>
      </c>
      <c r="U1" t="s">
        <v>89</v>
      </c>
      <c r="V1" t="s">
        <v>90</v>
      </c>
      <c r="W1" t="s">
        <v>94</v>
      </c>
      <c r="X1" t="s">
        <v>95</v>
      </c>
      <c r="Y1" t="s">
        <v>356</v>
      </c>
      <c r="Z1" t="s">
        <v>96</v>
      </c>
    </row>
    <row r="2" spans="1:26" x14ac:dyDescent="0.3">
      <c r="A2" t="s">
        <v>4</v>
      </c>
      <c r="B2" t="s">
        <v>53</v>
      </c>
      <c r="C2" t="s">
        <v>130</v>
      </c>
      <c r="D2">
        <v>0</v>
      </c>
      <c r="E2" t="s">
        <v>54</v>
      </c>
      <c r="L2" t="s">
        <v>4</v>
      </c>
      <c r="Y2" t="s">
        <v>358</v>
      </c>
      <c r="Z2" t="s">
        <v>4</v>
      </c>
    </row>
    <row r="3" spans="1:26" x14ac:dyDescent="0.3">
      <c r="A3" t="s">
        <v>28</v>
      </c>
      <c r="B3" t="s">
        <v>14</v>
      </c>
      <c r="C3">
        <v>0</v>
      </c>
      <c r="D3">
        <v>1</v>
      </c>
      <c r="E3" t="s">
        <v>41</v>
      </c>
      <c r="L3" t="s">
        <v>59</v>
      </c>
      <c r="Z3" t="s">
        <v>97</v>
      </c>
    </row>
    <row r="4" spans="1:26" x14ac:dyDescent="0.3">
      <c r="A4" t="s">
        <v>48</v>
      </c>
      <c r="B4" t="s">
        <v>15</v>
      </c>
      <c r="C4" t="s">
        <v>46</v>
      </c>
      <c r="D4">
        <v>1</v>
      </c>
      <c r="E4" t="s">
        <v>41</v>
      </c>
      <c r="L4" t="s">
        <v>61</v>
      </c>
      <c r="O4" t="s">
        <v>75</v>
      </c>
      <c r="Q4">
        <v>1</v>
      </c>
      <c r="Z4" t="s">
        <v>111</v>
      </c>
    </row>
    <row r="5" spans="1:26" x14ac:dyDescent="0.3">
      <c r="A5" t="s">
        <v>0</v>
      </c>
      <c r="B5" t="s">
        <v>16</v>
      </c>
      <c r="C5" t="str">
        <f>""""""</f>
        <v>""</v>
      </c>
      <c r="D5">
        <v>1</v>
      </c>
      <c r="E5" t="s">
        <v>41</v>
      </c>
      <c r="L5" t="s">
        <v>0</v>
      </c>
      <c r="M5">
        <v>1</v>
      </c>
      <c r="O5" t="s">
        <v>75</v>
      </c>
      <c r="W5">
        <v>1</v>
      </c>
      <c r="X5">
        <v>32</v>
      </c>
      <c r="Z5" t="s">
        <v>112</v>
      </c>
    </row>
    <row r="6" spans="1:26" x14ac:dyDescent="0.3">
      <c r="A6" t="s">
        <v>9</v>
      </c>
      <c r="B6" t="s">
        <v>16</v>
      </c>
      <c r="C6" t="str">
        <f>""""""</f>
        <v>""</v>
      </c>
      <c r="D6">
        <v>1</v>
      </c>
      <c r="E6" t="s">
        <v>41</v>
      </c>
      <c r="L6" t="s">
        <v>9</v>
      </c>
      <c r="O6" t="s">
        <v>75</v>
      </c>
      <c r="X6">
        <v>255</v>
      </c>
      <c r="Z6" t="s">
        <v>113</v>
      </c>
    </row>
    <row r="7" spans="1:26" x14ac:dyDescent="0.3">
      <c r="A7" t="s">
        <v>10</v>
      </c>
      <c r="B7" t="s">
        <v>16</v>
      </c>
      <c r="C7" t="str">
        <f>""""""</f>
        <v>""</v>
      </c>
      <c r="D7">
        <v>1</v>
      </c>
      <c r="E7" t="s">
        <v>41</v>
      </c>
      <c r="L7" t="s">
        <v>10</v>
      </c>
      <c r="M7">
        <v>1</v>
      </c>
      <c r="O7" t="s">
        <v>75</v>
      </c>
      <c r="X7">
        <v>32</v>
      </c>
      <c r="Z7" t="s">
        <v>114</v>
      </c>
    </row>
    <row r="8" spans="1:26" x14ac:dyDescent="0.3">
      <c r="A8" t="s">
        <v>11</v>
      </c>
      <c r="B8" t="s">
        <v>16</v>
      </c>
      <c r="C8" t="str">
        <f>""""""</f>
        <v>""</v>
      </c>
      <c r="D8">
        <v>1</v>
      </c>
      <c r="E8" t="s">
        <v>41</v>
      </c>
      <c r="L8" t="s">
        <v>11</v>
      </c>
      <c r="O8" t="s">
        <v>75</v>
      </c>
      <c r="X8">
        <v>2</v>
      </c>
      <c r="Z8" t="s">
        <v>115</v>
      </c>
    </row>
    <row r="9" spans="1:26" x14ac:dyDescent="0.3">
      <c r="A9" t="s">
        <v>12</v>
      </c>
      <c r="B9" t="s">
        <v>16</v>
      </c>
      <c r="C9" t="str">
        <f>""""""</f>
        <v>""</v>
      </c>
      <c r="D9">
        <v>1</v>
      </c>
      <c r="E9" t="s">
        <v>41</v>
      </c>
      <c r="L9" t="s">
        <v>77</v>
      </c>
      <c r="O9" t="s">
        <v>75</v>
      </c>
      <c r="X9">
        <v>16</v>
      </c>
      <c r="Z9" t="s">
        <v>116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D4DC8-A781-4371-A021-906EC0F5B3AE}">
  <sheetPr codeName="Sheet6"/>
  <dimension ref="A1:Z10"/>
  <sheetViews>
    <sheetView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Q1" sqref="Q1"/>
    </sheetView>
  </sheetViews>
  <sheetFormatPr defaultRowHeight="14.4" x14ac:dyDescent="0.3"/>
  <cols>
    <col min="1" max="1" width="15" bestFit="1" customWidth="1"/>
  </cols>
  <sheetData>
    <row r="1" spans="1:26" x14ac:dyDescent="0.3">
      <c r="A1" t="s">
        <v>0</v>
      </c>
      <c r="B1" t="s">
        <v>17</v>
      </c>
      <c r="C1" t="s">
        <v>45</v>
      </c>
      <c r="D1" t="s">
        <v>57</v>
      </c>
      <c r="E1" t="s">
        <v>2</v>
      </c>
      <c r="F1" t="s">
        <v>44</v>
      </c>
      <c r="G1" t="s">
        <v>42</v>
      </c>
      <c r="H1" t="s">
        <v>37</v>
      </c>
      <c r="I1" t="s">
        <v>38</v>
      </c>
      <c r="J1" t="s">
        <v>39</v>
      </c>
      <c r="K1" t="s">
        <v>80</v>
      </c>
      <c r="L1" t="s">
        <v>58</v>
      </c>
      <c r="M1" t="s">
        <v>1</v>
      </c>
      <c r="N1" t="s">
        <v>361</v>
      </c>
      <c r="O1" t="s">
        <v>73</v>
      </c>
      <c r="P1" t="s">
        <v>362</v>
      </c>
      <c r="Q1" t="s">
        <v>74</v>
      </c>
      <c r="R1" t="s">
        <v>91</v>
      </c>
      <c r="S1" t="s">
        <v>87</v>
      </c>
      <c r="T1" t="s">
        <v>88</v>
      </c>
      <c r="U1" t="s">
        <v>89</v>
      </c>
      <c r="V1" t="s">
        <v>90</v>
      </c>
      <c r="W1" t="s">
        <v>94</v>
      </c>
      <c r="X1" t="s">
        <v>95</v>
      </c>
      <c r="Y1" t="s">
        <v>356</v>
      </c>
      <c r="Z1" t="s">
        <v>96</v>
      </c>
    </row>
    <row r="2" spans="1:26" x14ac:dyDescent="0.3">
      <c r="A2" t="s">
        <v>55</v>
      </c>
      <c r="B2" t="s">
        <v>53</v>
      </c>
      <c r="C2" t="s">
        <v>130</v>
      </c>
      <c r="D2">
        <v>0</v>
      </c>
      <c r="E2" t="s">
        <v>54</v>
      </c>
      <c r="L2" t="s">
        <v>55</v>
      </c>
      <c r="Y2" t="s">
        <v>359</v>
      </c>
      <c r="Z2" t="s">
        <v>55</v>
      </c>
    </row>
    <row r="3" spans="1:26" x14ac:dyDescent="0.3">
      <c r="A3" t="s">
        <v>7</v>
      </c>
      <c r="B3" t="s">
        <v>14</v>
      </c>
      <c r="C3">
        <v>0</v>
      </c>
      <c r="D3">
        <v>1</v>
      </c>
      <c r="E3" t="s">
        <v>41</v>
      </c>
      <c r="L3" t="s">
        <v>66</v>
      </c>
      <c r="Z3" t="s">
        <v>97</v>
      </c>
    </row>
    <row r="4" spans="1:26" x14ac:dyDescent="0.3">
      <c r="A4" t="s">
        <v>8</v>
      </c>
      <c r="B4" t="s">
        <v>15</v>
      </c>
      <c r="C4" t="s">
        <v>46</v>
      </c>
      <c r="D4">
        <v>1</v>
      </c>
      <c r="E4" t="s">
        <v>41</v>
      </c>
      <c r="L4" t="s">
        <v>355</v>
      </c>
      <c r="O4" t="s">
        <v>75</v>
      </c>
      <c r="Q4">
        <v>1</v>
      </c>
      <c r="Z4" t="s">
        <v>111</v>
      </c>
    </row>
    <row r="5" spans="1:26" x14ac:dyDescent="0.3">
      <c r="A5" t="s">
        <v>0</v>
      </c>
      <c r="B5" t="s">
        <v>16</v>
      </c>
      <c r="C5" t="str">
        <f t="shared" ref="C5:C10" si="0">""""""</f>
        <v>""</v>
      </c>
      <c r="D5">
        <v>1</v>
      </c>
      <c r="E5" t="s">
        <v>41</v>
      </c>
      <c r="L5" t="s">
        <v>0</v>
      </c>
      <c r="M5">
        <v>1</v>
      </c>
      <c r="O5" t="s">
        <v>75</v>
      </c>
      <c r="W5">
        <v>1</v>
      </c>
      <c r="X5">
        <v>32</v>
      </c>
      <c r="Z5" t="s">
        <v>117</v>
      </c>
    </row>
    <row r="6" spans="1:26" x14ac:dyDescent="0.3">
      <c r="A6" t="s">
        <v>9</v>
      </c>
      <c r="B6" t="s">
        <v>16</v>
      </c>
      <c r="C6" t="str">
        <f t="shared" si="0"/>
        <v>""</v>
      </c>
      <c r="D6">
        <v>1</v>
      </c>
      <c r="E6" t="s">
        <v>41</v>
      </c>
      <c r="L6" t="s">
        <v>9</v>
      </c>
      <c r="M6">
        <v>1</v>
      </c>
      <c r="O6" t="s">
        <v>75</v>
      </c>
      <c r="X6">
        <v>255</v>
      </c>
      <c r="Z6" t="s">
        <v>118</v>
      </c>
    </row>
    <row r="7" spans="1:26" x14ac:dyDescent="0.3">
      <c r="A7" t="s">
        <v>10</v>
      </c>
      <c r="B7" t="s">
        <v>16</v>
      </c>
      <c r="C7" t="str">
        <f t="shared" si="0"/>
        <v>""</v>
      </c>
      <c r="D7">
        <v>1</v>
      </c>
      <c r="E7" t="s">
        <v>41</v>
      </c>
      <c r="L7" t="s">
        <v>10</v>
      </c>
      <c r="M7">
        <v>1</v>
      </c>
      <c r="O7" t="s">
        <v>75</v>
      </c>
      <c r="X7">
        <v>32</v>
      </c>
      <c r="Z7" t="s">
        <v>119</v>
      </c>
    </row>
    <row r="8" spans="1:26" x14ac:dyDescent="0.3">
      <c r="A8" t="s">
        <v>11</v>
      </c>
      <c r="B8" t="s">
        <v>16</v>
      </c>
      <c r="C8" t="str">
        <f t="shared" si="0"/>
        <v>""</v>
      </c>
      <c r="D8">
        <v>1</v>
      </c>
      <c r="E8" t="s">
        <v>41</v>
      </c>
      <c r="L8" t="s">
        <v>11</v>
      </c>
      <c r="O8" t="s">
        <v>75</v>
      </c>
      <c r="X8">
        <v>2</v>
      </c>
      <c r="Z8" t="s">
        <v>122</v>
      </c>
    </row>
    <row r="9" spans="1:26" x14ac:dyDescent="0.3">
      <c r="A9" t="s">
        <v>12</v>
      </c>
      <c r="B9" t="s">
        <v>16</v>
      </c>
      <c r="C9" t="str">
        <f t="shared" si="0"/>
        <v>""</v>
      </c>
      <c r="D9">
        <v>1</v>
      </c>
      <c r="E9" t="s">
        <v>41</v>
      </c>
      <c r="L9" t="s">
        <v>77</v>
      </c>
      <c r="M9">
        <v>1</v>
      </c>
      <c r="O9" t="s">
        <v>75</v>
      </c>
      <c r="X9">
        <v>16</v>
      </c>
      <c r="Z9" t="s">
        <v>120</v>
      </c>
    </row>
    <row r="10" spans="1:26" x14ac:dyDescent="0.3">
      <c r="A10" t="s">
        <v>13</v>
      </c>
      <c r="B10" t="s">
        <v>16</v>
      </c>
      <c r="C10" t="str">
        <f t="shared" si="0"/>
        <v>""</v>
      </c>
      <c r="D10">
        <v>1</v>
      </c>
      <c r="E10" t="s">
        <v>41</v>
      </c>
      <c r="L10" t="s">
        <v>13</v>
      </c>
      <c r="O10" t="s">
        <v>75</v>
      </c>
      <c r="X10">
        <v>12</v>
      </c>
      <c r="Z10" t="s">
        <v>121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61674-2228-4D1C-AA5A-6AB3E16C7688}">
  <sheetPr codeName="Sheet8"/>
  <dimension ref="A1:Z11"/>
  <sheetViews>
    <sheetView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Q1" sqref="Q1"/>
    </sheetView>
  </sheetViews>
  <sheetFormatPr defaultRowHeight="14.4" x14ac:dyDescent="0.3"/>
  <cols>
    <col min="1" max="1" width="15" bestFit="1" customWidth="1"/>
  </cols>
  <sheetData>
    <row r="1" spans="1:26" x14ac:dyDescent="0.3">
      <c r="A1" t="s">
        <v>0</v>
      </c>
      <c r="B1" t="s">
        <v>17</v>
      </c>
      <c r="C1" t="s">
        <v>45</v>
      </c>
      <c r="D1" t="s">
        <v>57</v>
      </c>
      <c r="E1" t="s">
        <v>2</v>
      </c>
      <c r="F1" t="s">
        <v>44</v>
      </c>
      <c r="G1" t="s">
        <v>42</v>
      </c>
      <c r="H1" t="s">
        <v>37</v>
      </c>
      <c r="I1" t="s">
        <v>38</v>
      </c>
      <c r="J1" t="s">
        <v>39</v>
      </c>
      <c r="K1" t="s">
        <v>80</v>
      </c>
      <c r="L1" t="s">
        <v>58</v>
      </c>
      <c r="M1" t="s">
        <v>1</v>
      </c>
      <c r="N1" t="s">
        <v>361</v>
      </c>
      <c r="O1" t="s">
        <v>73</v>
      </c>
      <c r="P1" t="s">
        <v>362</v>
      </c>
      <c r="Q1" t="s">
        <v>74</v>
      </c>
      <c r="R1" t="s">
        <v>91</v>
      </c>
      <c r="S1" t="s">
        <v>87</v>
      </c>
      <c r="T1" t="s">
        <v>88</v>
      </c>
      <c r="U1" t="s">
        <v>89</v>
      </c>
      <c r="V1" t="s">
        <v>90</v>
      </c>
      <c r="W1" t="s">
        <v>94</v>
      </c>
      <c r="X1" t="s">
        <v>95</v>
      </c>
      <c r="Y1" t="s">
        <v>356</v>
      </c>
      <c r="Z1" t="s">
        <v>96</v>
      </c>
    </row>
    <row r="2" spans="1:26" x14ac:dyDescent="0.3">
      <c r="A2" t="s">
        <v>56</v>
      </c>
      <c r="B2" t="s">
        <v>53</v>
      </c>
      <c r="C2" t="s">
        <v>130</v>
      </c>
      <c r="D2">
        <v>0</v>
      </c>
      <c r="E2" t="s">
        <v>54</v>
      </c>
      <c r="L2" t="s">
        <v>56</v>
      </c>
      <c r="Y2" t="s">
        <v>360</v>
      </c>
      <c r="Z2" t="s">
        <v>56</v>
      </c>
    </row>
    <row r="3" spans="1:26" x14ac:dyDescent="0.3">
      <c r="A3" t="s">
        <v>78</v>
      </c>
      <c r="B3" t="s">
        <v>16</v>
      </c>
      <c r="C3" t="s">
        <v>79</v>
      </c>
      <c r="D3">
        <v>0</v>
      </c>
      <c r="E3" t="s">
        <v>131</v>
      </c>
      <c r="K3" t="s">
        <v>81</v>
      </c>
      <c r="L3" t="s">
        <v>82</v>
      </c>
      <c r="M3">
        <v>1</v>
      </c>
      <c r="W3">
        <v>1</v>
      </c>
      <c r="Z3" t="s">
        <v>123</v>
      </c>
    </row>
    <row r="4" spans="1:26" x14ac:dyDescent="0.3">
      <c r="A4" t="s">
        <v>29</v>
      </c>
      <c r="B4" t="s">
        <v>14</v>
      </c>
      <c r="C4">
        <v>0</v>
      </c>
      <c r="D4">
        <v>1</v>
      </c>
      <c r="E4" t="s">
        <v>41</v>
      </c>
      <c r="L4" t="s">
        <v>59</v>
      </c>
      <c r="Z4" t="s">
        <v>97</v>
      </c>
    </row>
    <row r="5" spans="1:26" x14ac:dyDescent="0.3">
      <c r="A5" t="s">
        <v>49</v>
      </c>
      <c r="B5" t="s">
        <v>15</v>
      </c>
      <c r="C5" t="s">
        <v>46</v>
      </c>
      <c r="D5">
        <v>1</v>
      </c>
      <c r="E5" t="s">
        <v>41</v>
      </c>
      <c r="L5" t="s">
        <v>61</v>
      </c>
      <c r="O5" t="s">
        <v>75</v>
      </c>
      <c r="Q5">
        <v>1</v>
      </c>
      <c r="Z5" t="s">
        <v>111</v>
      </c>
    </row>
    <row r="6" spans="1:26" x14ac:dyDescent="0.3">
      <c r="A6" t="s">
        <v>5</v>
      </c>
      <c r="B6" t="s">
        <v>16</v>
      </c>
      <c r="C6" t="str">
        <f>""""""</f>
        <v>""</v>
      </c>
      <c r="D6">
        <v>1</v>
      </c>
      <c r="E6" t="s">
        <v>41</v>
      </c>
      <c r="L6" t="s">
        <v>83</v>
      </c>
      <c r="O6" t="s">
        <v>75</v>
      </c>
      <c r="V6" t="s">
        <v>93</v>
      </c>
      <c r="X6">
        <v>32</v>
      </c>
      <c r="Z6" t="s">
        <v>124</v>
      </c>
    </row>
    <row r="7" spans="1:26" x14ac:dyDescent="0.3">
      <c r="A7" t="s">
        <v>6</v>
      </c>
      <c r="B7" t="s">
        <v>16</v>
      </c>
      <c r="C7" t="str">
        <f>""""""</f>
        <v>""</v>
      </c>
      <c r="D7">
        <v>1</v>
      </c>
      <c r="E7" t="s">
        <v>41</v>
      </c>
      <c r="L7" t="s">
        <v>84</v>
      </c>
      <c r="O7" t="s">
        <v>75</v>
      </c>
      <c r="V7" t="s">
        <v>93</v>
      </c>
      <c r="X7">
        <v>32</v>
      </c>
      <c r="Z7" t="s">
        <v>125</v>
      </c>
    </row>
    <row r="8" spans="1:26" x14ac:dyDescent="0.3">
      <c r="A8" t="s">
        <v>50</v>
      </c>
      <c r="B8" t="s">
        <v>25</v>
      </c>
      <c r="C8" t="s">
        <v>47</v>
      </c>
      <c r="D8">
        <v>1</v>
      </c>
      <c r="E8" t="s">
        <v>41</v>
      </c>
      <c r="L8" t="s">
        <v>85</v>
      </c>
      <c r="M8">
        <v>1</v>
      </c>
      <c r="N8" t="s">
        <v>133</v>
      </c>
      <c r="O8" t="s">
        <v>92</v>
      </c>
      <c r="P8" t="s">
        <v>132</v>
      </c>
      <c r="Z8" t="s">
        <v>126</v>
      </c>
    </row>
    <row r="9" spans="1:26" x14ac:dyDescent="0.3">
      <c r="A9" t="s">
        <v>51</v>
      </c>
      <c r="B9" t="s">
        <v>25</v>
      </c>
      <c r="C9" t="s">
        <v>47</v>
      </c>
      <c r="D9">
        <v>1</v>
      </c>
      <c r="E9" t="s">
        <v>41</v>
      </c>
      <c r="L9" t="s">
        <v>86</v>
      </c>
      <c r="M9">
        <v>1</v>
      </c>
      <c r="N9" t="s">
        <v>133</v>
      </c>
      <c r="O9" t="s">
        <v>92</v>
      </c>
      <c r="P9" t="s">
        <v>132</v>
      </c>
      <c r="Z9" t="s">
        <v>127</v>
      </c>
    </row>
    <row r="10" spans="1:26" x14ac:dyDescent="0.3">
      <c r="A10" t="s">
        <v>52</v>
      </c>
      <c r="B10" t="s">
        <v>16</v>
      </c>
      <c r="C10" t="str">
        <f>""""""</f>
        <v>""</v>
      </c>
      <c r="D10">
        <v>1</v>
      </c>
      <c r="E10" t="s">
        <v>41</v>
      </c>
      <c r="L10" t="s">
        <v>52</v>
      </c>
      <c r="M10">
        <v>1</v>
      </c>
      <c r="O10" t="s">
        <v>75</v>
      </c>
      <c r="X10">
        <v>255</v>
      </c>
      <c r="Z10" t="s">
        <v>128</v>
      </c>
    </row>
    <row r="11" spans="1:26" x14ac:dyDescent="0.3">
      <c r="A11" t="s">
        <v>13</v>
      </c>
      <c r="B11" t="s">
        <v>16</v>
      </c>
      <c r="C11" t="str">
        <f>""""""</f>
        <v>""</v>
      </c>
      <c r="D11">
        <v>1</v>
      </c>
      <c r="E11" t="s">
        <v>41</v>
      </c>
      <c r="L11" t="s">
        <v>13</v>
      </c>
      <c r="X11">
        <v>16</v>
      </c>
      <c r="Z11" t="s">
        <v>129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10115-0B6B-4BD9-8752-5BB918B3824D}">
  <sheetPr codeName="Sheet1"/>
  <dimension ref="A1:K8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2" max="2" width="39.88671875" bestFit="1" customWidth="1"/>
    <col min="3" max="3" width="10.6640625" bestFit="1" customWidth="1"/>
    <col min="7" max="7" width="15.88671875" bestFit="1" customWidth="1"/>
    <col min="8" max="8" width="11.109375" bestFit="1" customWidth="1"/>
    <col min="9" max="9" width="15.88671875" bestFit="1" customWidth="1"/>
    <col min="11" max="11" width="11.6640625" bestFit="1" customWidth="1"/>
  </cols>
  <sheetData>
    <row r="1" spans="1:11" x14ac:dyDescent="0.3">
      <c r="A1" t="s">
        <v>18</v>
      </c>
      <c r="B1" t="s">
        <v>19</v>
      </c>
      <c r="C1" t="s">
        <v>7</v>
      </c>
      <c r="D1" t="s">
        <v>20</v>
      </c>
      <c r="E1" t="s">
        <v>21</v>
      </c>
      <c r="F1" t="s">
        <v>23</v>
      </c>
      <c r="G1" t="s">
        <v>24</v>
      </c>
      <c r="H1" t="s">
        <v>26</v>
      </c>
      <c r="I1" t="s">
        <v>27</v>
      </c>
      <c r="J1" t="s">
        <v>28</v>
      </c>
      <c r="K1" t="s">
        <v>29</v>
      </c>
    </row>
    <row r="2" spans="1:11" x14ac:dyDescent="0.3">
      <c r="A2">
        <v>1</v>
      </c>
      <c r="B2" t="s">
        <v>138</v>
      </c>
      <c r="C2">
        <v>8</v>
      </c>
      <c r="D2" t="s">
        <v>40</v>
      </c>
      <c r="E2">
        <v>4887.54</v>
      </c>
      <c r="F2">
        <v>4887.54</v>
      </c>
      <c r="G2" s="1">
        <v>37180</v>
      </c>
      <c r="H2" t="s">
        <v>139</v>
      </c>
      <c r="I2" s="1">
        <v>43095</v>
      </c>
      <c r="J2">
        <v>1</v>
      </c>
      <c r="K2">
        <v>5</v>
      </c>
    </row>
    <row r="3" spans="1:11" x14ac:dyDescent="0.3">
      <c r="A3">
        <v>2</v>
      </c>
      <c r="B3" t="s">
        <v>140</v>
      </c>
      <c r="C3">
        <v>15</v>
      </c>
      <c r="D3" t="s">
        <v>40</v>
      </c>
      <c r="E3">
        <v>17425.66</v>
      </c>
      <c r="F3">
        <v>17425.66</v>
      </c>
      <c r="G3" s="1">
        <v>30389</v>
      </c>
      <c r="H3" t="s">
        <v>139</v>
      </c>
      <c r="I3" s="1">
        <v>32900</v>
      </c>
      <c r="J3">
        <v>4</v>
      </c>
      <c r="K3">
        <v>2</v>
      </c>
    </row>
    <row r="4" spans="1:11" x14ac:dyDescent="0.3">
      <c r="A4">
        <v>3</v>
      </c>
      <c r="B4" t="s">
        <v>141</v>
      </c>
      <c r="C4">
        <v>18</v>
      </c>
      <c r="D4" t="s">
        <v>40</v>
      </c>
      <c r="E4">
        <v>19988.78</v>
      </c>
      <c r="F4">
        <v>8643.23</v>
      </c>
      <c r="G4" s="1">
        <v>29785</v>
      </c>
      <c r="H4" t="s">
        <v>139</v>
      </c>
      <c r="I4" s="1">
        <v>34660</v>
      </c>
      <c r="J4">
        <v>4</v>
      </c>
      <c r="K4">
        <v>4</v>
      </c>
    </row>
    <row r="5" spans="1:11" x14ac:dyDescent="0.3">
      <c r="A5">
        <v>4</v>
      </c>
      <c r="B5" t="s">
        <v>142</v>
      </c>
      <c r="C5">
        <v>2</v>
      </c>
      <c r="D5" t="s">
        <v>40</v>
      </c>
      <c r="E5">
        <v>8561.6200000000008</v>
      </c>
      <c r="F5">
        <v>8561.6200000000008</v>
      </c>
      <c r="G5" s="1">
        <v>40569</v>
      </c>
      <c r="H5" t="s">
        <v>139</v>
      </c>
      <c r="I5" s="1">
        <v>40951</v>
      </c>
      <c r="J5">
        <v>1</v>
      </c>
      <c r="K5">
        <v>4</v>
      </c>
    </row>
    <row r="6" spans="1:11" x14ac:dyDescent="0.3">
      <c r="A6">
        <v>5</v>
      </c>
      <c r="B6" t="s">
        <v>143</v>
      </c>
      <c r="C6">
        <v>9</v>
      </c>
      <c r="D6" t="s">
        <v>40</v>
      </c>
      <c r="E6">
        <v>23698.240000000002</v>
      </c>
      <c r="F6">
        <v>23698.240000000002</v>
      </c>
      <c r="G6" s="1">
        <v>35628</v>
      </c>
      <c r="H6" t="s">
        <v>139</v>
      </c>
      <c r="I6" s="1">
        <v>40793</v>
      </c>
      <c r="J6">
        <v>1</v>
      </c>
      <c r="K6">
        <v>2</v>
      </c>
    </row>
    <row r="7" spans="1:11" x14ac:dyDescent="0.3">
      <c r="A7">
        <v>6</v>
      </c>
      <c r="B7" t="s">
        <v>144</v>
      </c>
      <c r="C7">
        <v>5</v>
      </c>
      <c r="D7" t="s">
        <v>40</v>
      </c>
      <c r="E7">
        <v>24205.64</v>
      </c>
      <c r="F7">
        <v>24205.64</v>
      </c>
      <c r="G7" s="1">
        <v>30670</v>
      </c>
      <c r="H7" t="s">
        <v>139</v>
      </c>
      <c r="I7" s="1">
        <v>32222</v>
      </c>
      <c r="J7">
        <v>3</v>
      </c>
      <c r="K7">
        <v>2</v>
      </c>
    </row>
    <row r="8" spans="1:11" x14ac:dyDescent="0.3">
      <c r="A8">
        <v>7</v>
      </c>
      <c r="B8" t="s">
        <v>145</v>
      </c>
      <c r="C8">
        <v>8</v>
      </c>
      <c r="D8" t="s">
        <v>40</v>
      </c>
      <c r="E8">
        <v>852.13</v>
      </c>
      <c r="F8">
        <v>1310.49</v>
      </c>
      <c r="G8" s="1">
        <v>39796</v>
      </c>
      <c r="H8" t="s">
        <v>139</v>
      </c>
      <c r="I8" s="1">
        <v>42650</v>
      </c>
      <c r="J8">
        <v>4</v>
      </c>
      <c r="K8">
        <v>4</v>
      </c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D7752-9822-47EA-80FB-BAFAC171E5BA}">
  <sheetPr codeName="Sheet3"/>
  <dimension ref="A1:G5"/>
  <sheetViews>
    <sheetView workbookViewId="0">
      <pane ySplit="1" topLeftCell="A2" activePane="bottomLeft" state="frozen"/>
      <selection pane="bottomLeft" activeCell="G2" sqref="G2"/>
    </sheetView>
  </sheetViews>
  <sheetFormatPr defaultRowHeight="14.4" x14ac:dyDescent="0.3"/>
  <cols>
    <col min="2" max="2" width="38.5546875" bestFit="1" customWidth="1"/>
    <col min="3" max="3" width="6.33203125" bestFit="1" customWidth="1"/>
    <col min="4" max="4" width="22.6640625" bestFit="1" customWidth="1"/>
    <col min="5" max="5" width="10.109375" bestFit="1" customWidth="1"/>
  </cols>
  <sheetData>
    <row r="1" spans="1:7" x14ac:dyDescent="0.3">
      <c r="A1" t="s">
        <v>28</v>
      </c>
      <c r="B1" t="s">
        <v>48</v>
      </c>
      <c r="C1" t="s">
        <v>0</v>
      </c>
      <c r="D1" t="s">
        <v>9</v>
      </c>
      <c r="E1" t="s">
        <v>10</v>
      </c>
      <c r="F1" t="s">
        <v>11</v>
      </c>
      <c r="G1" t="s">
        <v>12</v>
      </c>
    </row>
    <row r="2" spans="1:7" x14ac:dyDescent="0.3">
      <c r="A2">
        <v>1</v>
      </c>
      <c r="B2" s="2" t="s">
        <v>146</v>
      </c>
      <c r="C2" t="s">
        <v>147</v>
      </c>
      <c r="D2" t="s">
        <v>148</v>
      </c>
      <c r="E2" t="s">
        <v>149</v>
      </c>
      <c r="F2" t="s">
        <v>150</v>
      </c>
      <c r="G2">
        <v>53704</v>
      </c>
    </row>
    <row r="3" spans="1:7" x14ac:dyDescent="0.3">
      <c r="A3">
        <v>2</v>
      </c>
      <c r="B3" t="s">
        <v>151</v>
      </c>
      <c r="C3" t="s">
        <v>152</v>
      </c>
      <c r="D3" t="s">
        <v>153</v>
      </c>
      <c r="E3" t="s">
        <v>154</v>
      </c>
      <c r="F3" t="s">
        <v>155</v>
      </c>
      <c r="G3">
        <v>37214</v>
      </c>
    </row>
    <row r="4" spans="1:7" x14ac:dyDescent="0.3">
      <c r="A4">
        <v>3</v>
      </c>
      <c r="B4" t="s">
        <v>156</v>
      </c>
      <c r="C4" t="s">
        <v>157</v>
      </c>
      <c r="D4" t="s">
        <v>158</v>
      </c>
      <c r="E4" t="s">
        <v>159</v>
      </c>
      <c r="F4" t="s">
        <v>160</v>
      </c>
      <c r="G4">
        <v>15212</v>
      </c>
    </row>
    <row r="5" spans="1:7" x14ac:dyDescent="0.3">
      <c r="A5">
        <v>4</v>
      </c>
      <c r="B5" t="s">
        <v>161</v>
      </c>
      <c r="C5" t="s">
        <v>162</v>
      </c>
      <c r="D5" t="s">
        <v>163</v>
      </c>
      <c r="E5" t="s">
        <v>164</v>
      </c>
      <c r="F5" t="s">
        <v>165</v>
      </c>
      <c r="G5">
        <v>33166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88534-C439-4527-BC6C-D278DD68CD0C}">
  <sheetPr codeName="Sheet12"/>
  <dimension ref="A1:H19"/>
  <sheetViews>
    <sheetView workbookViewId="0">
      <pane ySplit="1" topLeftCell="A5" activePane="bottomLeft" state="frozen"/>
      <selection pane="bottomLeft" activeCell="A16" sqref="A16"/>
    </sheetView>
  </sheetViews>
  <sheetFormatPr defaultRowHeight="14.4" x14ac:dyDescent="0.3"/>
  <cols>
    <col min="2" max="2" width="39.44140625" bestFit="1" customWidth="1"/>
    <col min="3" max="3" width="23.33203125" bestFit="1" customWidth="1"/>
    <col min="4" max="4" width="26.5546875" bestFit="1" customWidth="1"/>
    <col min="5" max="5" width="12.6640625" bestFit="1" customWidth="1"/>
    <col min="7" max="7" width="8.33203125" bestFit="1" customWidth="1"/>
    <col min="8" max="8" width="10.6640625" bestFit="1" customWidth="1"/>
  </cols>
  <sheetData>
    <row r="1" spans="1:8" x14ac:dyDescent="0.3">
      <c r="A1" t="s">
        <v>7</v>
      </c>
      <c r="B1" t="s">
        <v>8</v>
      </c>
      <c r="C1" t="s">
        <v>0</v>
      </c>
      <c r="D1" t="s">
        <v>9</v>
      </c>
      <c r="E1" t="s">
        <v>10</v>
      </c>
      <c r="F1" t="s">
        <v>11</v>
      </c>
      <c r="G1" t="s">
        <v>12</v>
      </c>
      <c r="H1" t="s">
        <v>13</v>
      </c>
    </row>
    <row r="2" spans="1:8" x14ac:dyDescent="0.3">
      <c r="A2">
        <v>1</v>
      </c>
      <c r="B2" t="s">
        <v>166</v>
      </c>
      <c r="C2" t="s">
        <v>167</v>
      </c>
      <c r="D2" t="s">
        <v>168</v>
      </c>
      <c r="E2" t="s">
        <v>169</v>
      </c>
      <c r="F2" t="s">
        <v>170</v>
      </c>
      <c r="G2">
        <v>90248</v>
      </c>
      <c r="H2" t="s">
        <v>171</v>
      </c>
    </row>
    <row r="3" spans="1:8" x14ac:dyDescent="0.3">
      <c r="A3">
        <v>2</v>
      </c>
      <c r="B3" t="s">
        <v>172</v>
      </c>
      <c r="C3" t="s">
        <v>173</v>
      </c>
      <c r="D3" t="s">
        <v>174</v>
      </c>
      <c r="E3" t="s">
        <v>175</v>
      </c>
      <c r="F3" t="s">
        <v>176</v>
      </c>
      <c r="G3">
        <v>10013</v>
      </c>
      <c r="H3" t="s">
        <v>177</v>
      </c>
    </row>
    <row r="4" spans="1:8" x14ac:dyDescent="0.3">
      <c r="A4">
        <v>3</v>
      </c>
      <c r="B4" t="s">
        <v>178</v>
      </c>
      <c r="C4" t="s">
        <v>179</v>
      </c>
      <c r="D4" t="s">
        <v>180</v>
      </c>
      <c r="E4" t="s">
        <v>181</v>
      </c>
      <c r="F4" t="s">
        <v>182</v>
      </c>
      <c r="G4">
        <v>87102</v>
      </c>
      <c r="H4" t="s">
        <v>183</v>
      </c>
    </row>
    <row r="5" spans="1:8" x14ac:dyDescent="0.3">
      <c r="A5">
        <v>4</v>
      </c>
      <c r="B5" t="s">
        <v>184</v>
      </c>
      <c r="C5" t="s">
        <v>185</v>
      </c>
      <c r="D5" t="s">
        <v>186</v>
      </c>
      <c r="E5" t="s">
        <v>187</v>
      </c>
      <c r="F5" t="s">
        <v>188</v>
      </c>
      <c r="G5">
        <v>60173</v>
      </c>
      <c r="H5" t="s">
        <v>189</v>
      </c>
    </row>
    <row r="6" spans="1:8" x14ac:dyDescent="0.3">
      <c r="A6">
        <v>5</v>
      </c>
      <c r="B6" t="s">
        <v>190</v>
      </c>
      <c r="C6" t="s">
        <v>191</v>
      </c>
      <c r="D6" t="s">
        <v>192</v>
      </c>
      <c r="E6" t="s">
        <v>193</v>
      </c>
      <c r="F6" t="s">
        <v>194</v>
      </c>
      <c r="G6">
        <v>49318</v>
      </c>
      <c r="H6" t="s">
        <v>195</v>
      </c>
    </row>
    <row r="7" spans="1:8" x14ac:dyDescent="0.3">
      <c r="A7">
        <v>6</v>
      </c>
      <c r="B7" t="s">
        <v>196</v>
      </c>
      <c r="C7" t="s">
        <v>197</v>
      </c>
      <c r="D7" t="s">
        <v>198</v>
      </c>
      <c r="E7" t="s">
        <v>199</v>
      </c>
      <c r="F7" t="s">
        <v>200</v>
      </c>
      <c r="G7">
        <v>20191</v>
      </c>
      <c r="H7" t="s">
        <v>201</v>
      </c>
    </row>
    <row r="8" spans="1:8" x14ac:dyDescent="0.3">
      <c r="A8">
        <v>7</v>
      </c>
      <c r="B8" t="s">
        <v>202</v>
      </c>
      <c r="C8" t="s">
        <v>203</v>
      </c>
      <c r="D8" t="s">
        <v>204</v>
      </c>
      <c r="E8" t="s">
        <v>205</v>
      </c>
      <c r="F8" t="s">
        <v>206</v>
      </c>
      <c r="G8">
        <v>68771</v>
      </c>
      <c r="H8" t="s">
        <v>207</v>
      </c>
    </row>
    <row r="9" spans="1:8" x14ac:dyDescent="0.3">
      <c r="A9">
        <v>8</v>
      </c>
      <c r="B9" t="s">
        <v>208</v>
      </c>
      <c r="C9" t="s">
        <v>209</v>
      </c>
      <c r="D9" t="s">
        <v>210</v>
      </c>
      <c r="E9" t="s">
        <v>211</v>
      </c>
      <c r="F9" t="s">
        <v>212</v>
      </c>
      <c r="G9">
        <v>78801</v>
      </c>
      <c r="H9" t="s">
        <v>213</v>
      </c>
    </row>
    <row r="10" spans="1:8" x14ac:dyDescent="0.3">
      <c r="A10">
        <v>9</v>
      </c>
      <c r="B10" t="s">
        <v>214</v>
      </c>
      <c r="C10" t="s">
        <v>215</v>
      </c>
      <c r="D10" t="s">
        <v>216</v>
      </c>
      <c r="E10" t="s">
        <v>169</v>
      </c>
      <c r="F10" t="s">
        <v>170</v>
      </c>
      <c r="G10">
        <v>93721</v>
      </c>
      <c r="H10" t="s">
        <v>217</v>
      </c>
    </row>
    <row r="11" spans="1:8" x14ac:dyDescent="0.3">
      <c r="A11">
        <v>10</v>
      </c>
      <c r="B11" t="s">
        <v>218</v>
      </c>
      <c r="C11" t="s">
        <v>219</v>
      </c>
      <c r="D11" t="s">
        <v>220</v>
      </c>
      <c r="E11" t="s">
        <v>221</v>
      </c>
      <c r="F11" t="s">
        <v>170</v>
      </c>
      <c r="G11">
        <v>92614</v>
      </c>
      <c r="H11" t="s">
        <v>222</v>
      </c>
    </row>
    <row r="12" spans="1:8" x14ac:dyDescent="0.3">
      <c r="A12">
        <v>11</v>
      </c>
      <c r="B12" t="s">
        <v>223</v>
      </c>
      <c r="C12" t="s">
        <v>224</v>
      </c>
      <c r="D12" t="s">
        <v>225</v>
      </c>
      <c r="E12" t="s">
        <v>226</v>
      </c>
      <c r="F12" t="s">
        <v>227</v>
      </c>
      <c r="G12">
        <v>30030</v>
      </c>
      <c r="H12" t="s">
        <v>228</v>
      </c>
    </row>
    <row r="13" spans="1:8" x14ac:dyDescent="0.3">
      <c r="A13">
        <v>12</v>
      </c>
      <c r="B13" t="s">
        <v>229</v>
      </c>
      <c r="C13" t="s">
        <v>230</v>
      </c>
      <c r="D13" t="s">
        <v>231</v>
      </c>
      <c r="E13" t="s">
        <v>232</v>
      </c>
      <c r="F13" t="s">
        <v>233</v>
      </c>
      <c r="G13">
        <v>46205</v>
      </c>
      <c r="H13" t="s">
        <v>234</v>
      </c>
    </row>
    <row r="14" spans="1:8" x14ac:dyDescent="0.3">
      <c r="A14">
        <v>13</v>
      </c>
      <c r="B14" t="s">
        <v>235</v>
      </c>
      <c r="C14" t="s">
        <v>236</v>
      </c>
      <c r="D14" t="s">
        <v>237</v>
      </c>
      <c r="E14" t="s">
        <v>238</v>
      </c>
      <c r="F14" t="s">
        <v>239</v>
      </c>
      <c r="G14">
        <v>1301</v>
      </c>
      <c r="H14" t="s">
        <v>240</v>
      </c>
    </row>
    <row r="15" spans="1:8" x14ac:dyDescent="0.3">
      <c r="A15">
        <v>14</v>
      </c>
      <c r="B15" t="s">
        <v>241</v>
      </c>
      <c r="C15" t="s">
        <v>242</v>
      </c>
      <c r="D15" t="s">
        <v>243</v>
      </c>
      <c r="E15" t="s">
        <v>244</v>
      </c>
      <c r="F15" t="s">
        <v>245</v>
      </c>
      <c r="G15">
        <v>63101</v>
      </c>
      <c r="H15" t="s">
        <v>246</v>
      </c>
    </row>
    <row r="16" spans="1:8" x14ac:dyDescent="0.3">
      <c r="A16">
        <v>15</v>
      </c>
      <c r="B16" t="s">
        <v>247</v>
      </c>
      <c r="C16" t="s">
        <v>248</v>
      </c>
      <c r="D16" t="s">
        <v>249</v>
      </c>
      <c r="E16" t="s">
        <v>250</v>
      </c>
      <c r="F16" t="s">
        <v>251</v>
      </c>
      <c r="G16">
        <v>84047</v>
      </c>
      <c r="H16" t="s">
        <v>252</v>
      </c>
    </row>
    <row r="17" spans="1:8" x14ac:dyDescent="0.3">
      <c r="A17">
        <v>16</v>
      </c>
      <c r="B17" t="s">
        <v>253</v>
      </c>
      <c r="C17" t="s">
        <v>254</v>
      </c>
      <c r="D17" t="s">
        <v>255</v>
      </c>
      <c r="E17" t="s">
        <v>256</v>
      </c>
      <c r="F17" t="s">
        <v>257</v>
      </c>
      <c r="G17">
        <v>23860</v>
      </c>
      <c r="H17" t="s">
        <v>258</v>
      </c>
    </row>
    <row r="18" spans="1:8" x14ac:dyDescent="0.3">
      <c r="A18">
        <v>17</v>
      </c>
      <c r="B18" t="s">
        <v>259</v>
      </c>
      <c r="C18" t="s">
        <v>260</v>
      </c>
      <c r="D18" t="s">
        <v>261</v>
      </c>
      <c r="E18" t="s">
        <v>262</v>
      </c>
      <c r="F18" t="s">
        <v>160</v>
      </c>
      <c r="G18">
        <v>18510</v>
      </c>
      <c r="H18" t="s">
        <v>263</v>
      </c>
    </row>
    <row r="19" spans="1:8" x14ac:dyDescent="0.3">
      <c r="A19">
        <v>18</v>
      </c>
      <c r="B19" t="s">
        <v>264</v>
      </c>
      <c r="C19" t="s">
        <v>265</v>
      </c>
      <c r="D19" t="s">
        <v>266</v>
      </c>
      <c r="E19" t="s">
        <v>169</v>
      </c>
      <c r="F19" t="s">
        <v>267</v>
      </c>
      <c r="G19">
        <v>7728</v>
      </c>
      <c r="H19" t="s">
        <v>268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C04EB-EA05-4C8D-8EBB-0106A8A1668C}">
  <sheetPr codeName="Sheet13"/>
  <dimension ref="A1:H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1.6640625" bestFit="1" customWidth="1"/>
    <col min="2" max="2" width="38.5546875" bestFit="1" customWidth="1"/>
    <col min="3" max="3" width="10.109375" bestFit="1" customWidth="1"/>
    <col min="4" max="4" width="9.6640625" bestFit="1" customWidth="1"/>
    <col min="5" max="5" width="15.88671875" bestFit="1" customWidth="1"/>
    <col min="6" max="6" width="10.6640625" bestFit="1" customWidth="1"/>
    <col min="7" max="7" width="21" bestFit="1" customWidth="1"/>
    <col min="8" max="8" width="11.44140625" bestFit="1" customWidth="1"/>
  </cols>
  <sheetData>
    <row r="1" spans="1:8" x14ac:dyDescent="0.3">
      <c r="A1" t="s">
        <v>29</v>
      </c>
      <c r="B1" t="s">
        <v>49</v>
      </c>
      <c r="C1" t="s">
        <v>5</v>
      </c>
      <c r="D1" t="s">
        <v>6</v>
      </c>
      <c r="E1" t="s">
        <v>50</v>
      </c>
      <c r="F1" t="s">
        <v>51</v>
      </c>
      <c r="G1" t="s">
        <v>52</v>
      </c>
      <c r="H1" t="s">
        <v>13</v>
      </c>
    </row>
    <row r="2" spans="1:8" x14ac:dyDescent="0.3">
      <c r="A2">
        <v>1</v>
      </c>
      <c r="B2" s="2" t="s">
        <v>269</v>
      </c>
      <c r="C2" t="s">
        <v>270</v>
      </c>
      <c r="D2" t="s">
        <v>271</v>
      </c>
      <c r="E2" s="1">
        <v>40896</v>
      </c>
      <c r="F2" t="s">
        <v>139</v>
      </c>
      <c r="G2" t="s">
        <v>272</v>
      </c>
      <c r="H2" t="s">
        <v>273</v>
      </c>
    </row>
    <row r="3" spans="1:8" x14ac:dyDescent="0.3">
      <c r="A3">
        <v>2</v>
      </c>
      <c r="B3" t="s">
        <v>274</v>
      </c>
      <c r="C3" t="s">
        <v>275</v>
      </c>
      <c r="D3" t="s">
        <v>276</v>
      </c>
      <c r="E3" s="1">
        <v>41701</v>
      </c>
      <c r="F3" t="s">
        <v>139</v>
      </c>
      <c r="G3" t="s">
        <v>272</v>
      </c>
      <c r="H3" t="s">
        <v>277</v>
      </c>
    </row>
    <row r="4" spans="1:8" x14ac:dyDescent="0.3">
      <c r="A4">
        <v>3</v>
      </c>
      <c r="B4" t="s">
        <v>278</v>
      </c>
      <c r="C4" t="s">
        <v>279</v>
      </c>
      <c r="D4" t="s">
        <v>280</v>
      </c>
      <c r="E4" s="1">
        <v>40413</v>
      </c>
      <c r="F4" t="s">
        <v>139</v>
      </c>
      <c r="G4" t="s">
        <v>281</v>
      </c>
      <c r="H4" t="s">
        <v>282</v>
      </c>
    </row>
    <row r="5" spans="1:8" x14ac:dyDescent="0.3">
      <c r="A5">
        <v>4</v>
      </c>
      <c r="B5" t="s">
        <v>283</v>
      </c>
      <c r="C5" t="s">
        <v>284</v>
      </c>
      <c r="D5" t="s">
        <v>285</v>
      </c>
      <c r="E5" s="1">
        <v>40641</v>
      </c>
      <c r="F5" t="s">
        <v>139</v>
      </c>
      <c r="G5" t="s">
        <v>281</v>
      </c>
      <c r="H5" t="s">
        <v>286</v>
      </c>
    </row>
    <row r="6" spans="1:8" x14ac:dyDescent="0.3">
      <c r="A6">
        <v>5</v>
      </c>
      <c r="B6" t="s">
        <v>287</v>
      </c>
      <c r="C6" t="s">
        <v>288</v>
      </c>
      <c r="D6" t="s">
        <v>289</v>
      </c>
      <c r="E6" s="1">
        <v>32167</v>
      </c>
      <c r="F6" t="s">
        <v>139</v>
      </c>
      <c r="G6" t="s">
        <v>290</v>
      </c>
      <c r="H6" t="s">
        <v>291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77B66-06F8-4E5C-89C4-9A62725838E6}">
  <sheetPr codeName="Sheet14"/>
  <dimension ref="A1:D1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3.5546875" bestFit="1" customWidth="1"/>
    <col min="2" max="2" width="39.5546875" bestFit="1" customWidth="1"/>
    <col min="3" max="3" width="10" bestFit="1" customWidth="1"/>
    <col min="4" max="4" width="23.5546875" bestFit="1" customWidth="1"/>
  </cols>
  <sheetData>
    <row r="1" spans="1:4" x14ac:dyDescent="0.3">
      <c r="A1" t="s">
        <v>292</v>
      </c>
      <c r="B1" t="s">
        <v>293</v>
      </c>
      <c r="C1" t="s">
        <v>18</v>
      </c>
      <c r="D1" t="s">
        <v>294</v>
      </c>
    </row>
    <row r="2" spans="1:4" x14ac:dyDescent="0.3">
      <c r="A2">
        <v>1</v>
      </c>
      <c r="B2" t="s">
        <v>295</v>
      </c>
      <c r="C2">
        <v>6</v>
      </c>
      <c r="D2" t="s">
        <v>296</v>
      </c>
    </row>
    <row r="3" spans="1:4" x14ac:dyDescent="0.3">
      <c r="A3">
        <v>2</v>
      </c>
      <c r="B3" t="s">
        <v>297</v>
      </c>
      <c r="C3">
        <v>7</v>
      </c>
      <c r="D3" t="s">
        <v>298</v>
      </c>
    </row>
    <row r="4" spans="1:4" x14ac:dyDescent="0.3">
      <c r="A4">
        <v>3</v>
      </c>
      <c r="B4" t="s">
        <v>299</v>
      </c>
      <c r="C4">
        <v>7</v>
      </c>
      <c r="D4" t="s">
        <v>300</v>
      </c>
    </row>
    <row r="5" spans="1:4" x14ac:dyDescent="0.3">
      <c r="A5">
        <v>4</v>
      </c>
      <c r="B5" t="s">
        <v>301</v>
      </c>
      <c r="C5">
        <v>4</v>
      </c>
      <c r="D5" t="s">
        <v>302</v>
      </c>
    </row>
    <row r="6" spans="1:4" x14ac:dyDescent="0.3">
      <c r="A6">
        <v>5</v>
      </c>
      <c r="B6" t="s">
        <v>303</v>
      </c>
      <c r="C6">
        <v>5</v>
      </c>
      <c r="D6" t="s">
        <v>304</v>
      </c>
    </row>
    <row r="7" spans="1:4" x14ac:dyDescent="0.3">
      <c r="A7">
        <v>6</v>
      </c>
      <c r="B7" t="s">
        <v>305</v>
      </c>
      <c r="C7">
        <v>3</v>
      </c>
      <c r="D7" t="s">
        <v>306</v>
      </c>
    </row>
    <row r="8" spans="1:4" x14ac:dyDescent="0.3">
      <c r="A8">
        <v>7</v>
      </c>
      <c r="B8" t="s">
        <v>307</v>
      </c>
      <c r="C8">
        <v>2</v>
      </c>
      <c r="D8" t="s">
        <v>308</v>
      </c>
    </row>
    <row r="9" spans="1:4" x14ac:dyDescent="0.3">
      <c r="A9">
        <v>8</v>
      </c>
      <c r="B9" t="s">
        <v>309</v>
      </c>
      <c r="C9">
        <v>6</v>
      </c>
      <c r="D9" t="s">
        <v>298</v>
      </c>
    </row>
    <row r="10" spans="1:4" x14ac:dyDescent="0.3">
      <c r="A10">
        <v>9</v>
      </c>
      <c r="B10" s="2" t="s">
        <v>310</v>
      </c>
      <c r="C10">
        <v>2</v>
      </c>
      <c r="D10" t="s">
        <v>311</v>
      </c>
    </row>
    <row r="11" spans="1:4" x14ac:dyDescent="0.3">
      <c r="A11">
        <v>10</v>
      </c>
      <c r="B11" t="s">
        <v>312</v>
      </c>
      <c r="C11">
        <v>4</v>
      </c>
      <c r="D11" t="s">
        <v>313</v>
      </c>
    </row>
    <row r="12" spans="1:4" x14ac:dyDescent="0.3">
      <c r="A12">
        <v>11</v>
      </c>
      <c r="B12" t="s">
        <v>314</v>
      </c>
      <c r="C12">
        <v>2</v>
      </c>
      <c r="D12" t="s">
        <v>315</v>
      </c>
    </row>
    <row r="13" spans="1:4" x14ac:dyDescent="0.3">
      <c r="A13">
        <v>12</v>
      </c>
      <c r="B13" t="s">
        <v>316</v>
      </c>
      <c r="C13">
        <v>1</v>
      </c>
      <c r="D13" t="s">
        <v>317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0582F-DB22-4A41-BDAB-86221C297EE5}">
  <sheetPr codeName="Sheet15"/>
  <dimension ref="A1:I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2" max="2" width="39.44140625" bestFit="1" customWidth="1"/>
    <col min="3" max="3" width="10" bestFit="1" customWidth="1"/>
    <col min="4" max="4" width="20.6640625" bestFit="1" customWidth="1"/>
    <col min="5" max="5" width="9" bestFit="1" customWidth="1"/>
    <col min="6" max="6" width="15.88671875" bestFit="1" customWidth="1"/>
    <col min="7" max="7" width="19" bestFit="1" customWidth="1"/>
    <col min="8" max="8" width="20" bestFit="1" customWidth="1"/>
    <col min="9" max="9" width="15.33203125" bestFit="1" customWidth="1"/>
  </cols>
  <sheetData>
    <row r="1" spans="1:9" x14ac:dyDescent="0.3">
      <c r="A1" t="s">
        <v>318</v>
      </c>
      <c r="B1" t="s">
        <v>319</v>
      </c>
      <c r="C1" t="s">
        <v>18</v>
      </c>
      <c r="D1" t="s">
        <v>320</v>
      </c>
      <c r="E1" t="s">
        <v>321</v>
      </c>
      <c r="F1" t="s">
        <v>322</v>
      </c>
      <c r="G1" t="s">
        <v>323</v>
      </c>
      <c r="H1" t="s">
        <v>324</v>
      </c>
      <c r="I1" t="s">
        <v>325</v>
      </c>
    </row>
    <row r="2" spans="1:9" x14ac:dyDescent="0.3">
      <c r="A2">
        <v>1</v>
      </c>
      <c r="B2" t="s">
        <v>326</v>
      </c>
      <c r="C2">
        <v>6</v>
      </c>
      <c r="D2">
        <v>2</v>
      </c>
      <c r="E2">
        <v>11306.32</v>
      </c>
      <c r="F2" s="1">
        <v>41524</v>
      </c>
      <c r="G2" s="1">
        <v>41524</v>
      </c>
      <c r="H2" t="s">
        <v>327</v>
      </c>
      <c r="I2">
        <v>44972</v>
      </c>
    </row>
    <row r="3" spans="1:9" x14ac:dyDescent="0.3">
      <c r="A3">
        <v>2</v>
      </c>
      <c r="B3" t="s">
        <v>328</v>
      </c>
      <c r="C3">
        <v>4</v>
      </c>
      <c r="D3">
        <v>2</v>
      </c>
      <c r="E3">
        <v>17413.310000000001</v>
      </c>
      <c r="F3" s="1">
        <v>35908</v>
      </c>
      <c r="G3" s="1">
        <v>35908</v>
      </c>
      <c r="H3" t="s">
        <v>329</v>
      </c>
      <c r="I3">
        <v>92420</v>
      </c>
    </row>
    <row r="4" spans="1:9" x14ac:dyDescent="0.3">
      <c r="A4">
        <v>3</v>
      </c>
      <c r="B4" t="s">
        <v>330</v>
      </c>
      <c r="C4">
        <v>2</v>
      </c>
      <c r="D4">
        <v>2</v>
      </c>
      <c r="E4">
        <v>9558.14</v>
      </c>
      <c r="F4" s="1">
        <v>32318</v>
      </c>
      <c r="G4" s="1">
        <v>32318</v>
      </c>
      <c r="H4" t="s">
        <v>331</v>
      </c>
      <c r="I4">
        <v>63077</v>
      </c>
    </row>
    <row r="5" spans="1:9" x14ac:dyDescent="0.3">
      <c r="A5">
        <v>4</v>
      </c>
      <c r="B5" t="s">
        <v>332</v>
      </c>
      <c r="C5">
        <v>1</v>
      </c>
      <c r="D5">
        <v>2</v>
      </c>
      <c r="E5">
        <v>8751.14</v>
      </c>
      <c r="F5" s="1">
        <v>33867</v>
      </c>
      <c r="G5" s="1">
        <v>33867</v>
      </c>
      <c r="H5" t="s">
        <v>333</v>
      </c>
      <c r="I5">
        <v>74285</v>
      </c>
    </row>
    <row r="6" spans="1:9" x14ac:dyDescent="0.3">
      <c r="A6">
        <v>5</v>
      </c>
      <c r="B6" t="s">
        <v>334</v>
      </c>
      <c r="C6">
        <v>4</v>
      </c>
      <c r="D6">
        <v>2</v>
      </c>
      <c r="E6">
        <v>786.72</v>
      </c>
      <c r="F6" s="1">
        <v>35590</v>
      </c>
      <c r="G6" s="1">
        <v>35590</v>
      </c>
      <c r="H6" t="s">
        <v>335</v>
      </c>
      <c r="I6">
        <v>88678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8E454-31E0-4515-BADE-E3E5DD5527C2}">
  <sheetPr codeName="Sheet16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7.5546875" bestFit="1" customWidth="1"/>
    <col min="2" max="2" width="39.5546875" bestFit="1" customWidth="1"/>
    <col min="3" max="3" width="20.6640625" bestFit="1" customWidth="1"/>
    <col min="4" max="4" width="24.44140625" bestFit="1" customWidth="1"/>
    <col min="5" max="5" width="21" bestFit="1" customWidth="1"/>
  </cols>
  <sheetData>
    <row r="1" spans="1:6" x14ac:dyDescent="0.3">
      <c r="A1" t="s">
        <v>336</v>
      </c>
      <c r="B1" t="s">
        <v>337</v>
      </c>
      <c r="C1" t="s">
        <v>320</v>
      </c>
      <c r="D1" t="s">
        <v>338</v>
      </c>
      <c r="E1" t="s">
        <v>339</v>
      </c>
      <c r="F1" t="s">
        <v>340</v>
      </c>
    </row>
    <row r="2" spans="1:6" x14ac:dyDescent="0.3">
      <c r="A2">
        <v>1</v>
      </c>
      <c r="B2" t="s">
        <v>341</v>
      </c>
      <c r="C2">
        <v>0</v>
      </c>
      <c r="D2">
        <v>0</v>
      </c>
      <c r="E2" t="s">
        <v>342</v>
      </c>
      <c r="F2" t="s">
        <v>343</v>
      </c>
    </row>
    <row r="3" spans="1:6" x14ac:dyDescent="0.3">
      <c r="A3">
        <v>2</v>
      </c>
      <c r="B3" t="s">
        <v>344</v>
      </c>
      <c r="C3">
        <v>1</v>
      </c>
      <c r="D3">
        <v>1</v>
      </c>
      <c r="E3" t="s">
        <v>345</v>
      </c>
      <c r="F3" t="s">
        <v>346</v>
      </c>
    </row>
    <row r="4" spans="1:6" x14ac:dyDescent="0.3">
      <c r="A4">
        <v>3</v>
      </c>
      <c r="B4" t="s">
        <v>347</v>
      </c>
      <c r="C4">
        <v>2</v>
      </c>
      <c r="D4">
        <v>2</v>
      </c>
      <c r="E4" t="s">
        <v>348</v>
      </c>
      <c r="F4" t="s">
        <v>349</v>
      </c>
    </row>
    <row r="5" spans="1:6" x14ac:dyDescent="0.3">
      <c r="A5">
        <v>4</v>
      </c>
      <c r="B5" t="s">
        <v>350</v>
      </c>
      <c r="C5">
        <v>3</v>
      </c>
      <c r="D5">
        <v>3</v>
      </c>
      <c r="E5" t="s">
        <v>351</v>
      </c>
      <c r="F5" t="s">
        <v>352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ComponentAccount</vt:lpstr>
      <vt:lpstr>ComponentBranch</vt:lpstr>
      <vt:lpstr>ComponentCustomer</vt:lpstr>
      <vt:lpstr>ComponentEmployee</vt:lpstr>
      <vt:lpstr>TableAccount</vt:lpstr>
      <vt:lpstr>TableBranch</vt:lpstr>
      <vt:lpstr>TableCustomer</vt:lpstr>
      <vt:lpstr>TableEmployee</vt:lpstr>
      <vt:lpstr>TableServiceChargeManager</vt:lpstr>
      <vt:lpstr>TableTransaction</vt:lpstr>
      <vt:lpstr>TableTransactionType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Patterson</dc:creator>
  <cp:lastModifiedBy>Daniel Patterson</cp:lastModifiedBy>
  <dcterms:created xsi:type="dcterms:W3CDTF">2018-04-30T14:18:46Z</dcterms:created>
  <dcterms:modified xsi:type="dcterms:W3CDTF">2019-05-08T14:41:34Z</dcterms:modified>
</cp:coreProperties>
</file>